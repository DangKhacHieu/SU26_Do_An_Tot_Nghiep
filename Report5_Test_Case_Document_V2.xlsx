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28" yWindow="-108" windowWidth="22320" windowHeight="13176" activeTab="2"/>
  </bookViews>
  <sheets>
    <sheet sheetId="1" name="Cover" state="visible" r:id="rId4"/>
    <sheet sheetId="3" name="Feature1" state="visible" r:id="rId5"/>
    <sheet sheetId="7" name="Feature2" state="visible" r:id="rId6"/>
    <sheet sheetId="5" name="Test Report" state="visible" r:id="rId7"/>
    <sheet sheetId="2" name="FunctionList" state="visible" r:id="rId8"/>
  </sheets>
  <definedNames>
    <definedName name="_xlnm._FilterDatabase">Feature2!$A$8:$I$16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1" authorId="0">
      <text>
        <r>
          <rPr>
            <b/>
            <color indexed="8"/>
            <family val="1"/>
            <sz val="10"/>
            <rFont val="Times New Roman"/>
          </rPr>
          <t>*A</t>
        </r>
        <r>
          <rPr>
            <color indexed="8"/>
            <family val="1"/>
            <sz val="10"/>
            <rFont val="Times New Roman"/>
          </rPr>
          <t xml:space="preserve">: Add
  </t>
        </r>
        <r>
          <rPr>
            <b/>
            <color indexed="8"/>
            <family val="1"/>
            <sz val="10"/>
            <rFont val="Times New Roman"/>
          </rPr>
          <t>M</t>
        </r>
        <r>
          <rPr>
            <color indexed="8"/>
            <family val="1"/>
            <sz val="10"/>
            <rFont val="Times New Roman"/>
          </rPr>
          <t xml:space="preserve">: Modify
  </t>
        </r>
        <r>
          <rPr>
            <b/>
            <color indexed="8"/>
            <family val="1"/>
            <sz val="10"/>
            <rFont val="Times New Roman"/>
          </rPr>
          <t>D</t>
        </r>
        <r>
          <rPr>
            <color indexed="8"/>
            <family val="1"/>
            <sz val="10"/>
            <rFont val="Times New Roman"/>
          </rPr>
          <t xml:space="preserve">: Delete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8" authorId="0">
      <text>
        <r>
          <rPr>
            <b/>
            <color indexed="8"/>
            <family val="1"/>
            <sz val="8"/>
            <rFont val="Times New Roman"/>
          </rPr>
          <t xml:space="preserve">Pass
Fail
Untested
N/A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F8" authorId="0">
      <text>
        <r>
          <rPr>
            <b/>
            <color indexed="8"/>
            <family val="1"/>
            <sz val="8"/>
            <rFont val="Times New Roman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<sst xmlns="http://schemas.openxmlformats.org/spreadsheetml/2006/main" count="457" uniqueCount="297">
  <si>
    <t>SYSTEM 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</si>
  <si>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</si>
  <si>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</si>
  <si>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</si>
  <si>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</si>
  <si>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</si>
  <si>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</si>
  <si>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</si>
  <si>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</si>
  <si>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</si>
  <si>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</si>
  <si>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</si>
  <si>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</si>
  <si>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</si>
  <si>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</si>
  <si>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</si>
  <si>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</si>
  <si>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</si>
  <si>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Feature</t>
  </si>
  <si>
    <t>&lt;Feature Name1&gt;</t>
  </si>
  <si>
    <t>Pass</t>
  </si>
  <si>
    <t>Test requirement</t>
  </si>
  <si>
    <t>&lt;Brief description about requirements which are tested in this sheet&gt;</t>
  </si>
  <si>
    <t>Fail</t>
  </si>
  <si>
    <t>Reference Document</t>
  </si>
  <si>
    <t>Untesed</t>
  </si>
  <si>
    <t>Untested</t>
  </si>
  <si>
    <t>N/A</t>
  </si>
  <si>
    <t>Number of Test cases</t>
  </si>
  <si>
    <t>ID</t>
  </si>
  <si>
    <t>Test Case Description</t>
  </si>
  <si>
    <t>Test Case Procedure</t>
  </si>
  <si>
    <t>Expected Results</t>
  </si>
  <si>
    <t>Actual Results</t>
  </si>
  <si>
    <t>Inter-test case Dependence</t>
  </si>
  <si>
    <t>Result</t>
  </si>
  <si>
    <t>Test date</t>
  </si>
  <si>
    <t>Tester</t>
  </si>
  <si>
    <t>Note</t>
  </si>
  <si>
    <t>Login (each function includes multiple test cases to check User Interface (GUI), Data Validation (GUI), Functionality, Non-Functionality,..)</t>
  </si>
  <si>
    <t>Login - 1</t>
  </si>
  <si>
    <t>Kiểm thử đăng nhập thành công</t>
  </si>
  <si>
    <t xml:space="preserve">1. Truy cập vào website
2. Click vào nút login.
3. Điển username: huonglh
4. Điền password: 123
5. Click nút sign…</t>
  </si>
  <si>
    <t xml:space="preserve">1. Nhận được thông báo "đăng nhập thành công"
2. Được chuyển sang trang chủ.</t>
  </si>
  <si>
    <t>- Tài khoản phải tồn tại và không bị deactive</t>
  </si>
  <si>
    <t>Login - 2</t>
  </si>
  <si>
    <t>&lt;Test case 2&gt;</t>
  </si>
  <si>
    <t>Login -3</t>
  </si>
  <si>
    <t>&lt;Test case 3&gt;</t>
  </si>
  <si>
    <t>Function B (each function includes multiple test cases to check User Interface (GUI), Data Validation (GUI), Functionality, Non-Functionality,..)</t>
  </si>
  <si>
    <t>&lt;Test case 4&gt;</t>
  </si>
  <si>
    <t>&lt;Test case 5&gt;</t>
  </si>
  <si>
    <t>Function C (each function includes multiple test cases to check User Interface (GUI), Data Validation (GUI), Functionality, Non-Functionality,..)</t>
  </si>
  <si>
    <t>&lt;Test case 6&gt;</t>
  </si>
  <si>
    <t>&lt;Feature Name2&gt;</t>
  </si>
  <si>
    <t>Function A (each function includes multiple test cases to check User Interface (GUI), Data Validation (GUI), Functionality, Non-Functionality,..)</t>
  </si>
  <si>
    <r>
      <t xml:space="preserve">&lt;Brief description of this case: what is tested?&gt;
</t>
    </r>
    <r>
      <rPr>
        <family val="2"/>
        <sz val="10"/>
        <rFont val="Tahoma"/>
      </rPr>
      <t>Ex: Test viewing "Company" form.</t>
    </r>
  </si>
  <si>
    <r>
      <t xml:space="preserve">&lt;Describe steps to perform this case&gt;
</t>
    </r>
    <r>
      <rPr>
        <family val="2"/>
        <sz val="10"/>
        <rFont val="Tahoma"/>
      </rPr>
      <t xml:space="preserve">Ex:
1. Login the system with Manager role.
2. Click "Company" tab in the left menu.</t>
    </r>
  </si>
  <si>
    <r>
      <t xml:space="preserve">&lt;Describe results which meet customer's requirement&gt;
</t>
    </r>
    <r>
      <rPr>
        <color indexed="8"/>
        <family val="2"/>
        <sz val="10"/>
        <rFont val="Tahoma"/>
      </rPr>
      <t xml:space="preserve"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</si>
  <si>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</si>
  <si>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</si>
  <si>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</si>
  <si>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</si>
  <si>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</si>
  <si>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</si>
  <si>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</si>
  <si>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</si>
  <si>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</si>
  <si>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</si>
  <si>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</si>
  <si>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</si>
  <si>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Requirement Name</t>
  </si>
  <si>
    <t>Class Name</t>
  </si>
  <si>
    <t>Function Name</t>
  </si>
  <si>
    <t>Function Code(Optional)</t>
  </si>
  <si>
    <t>Sheet Name</t>
  </si>
  <si>
    <t>Description</t>
  </si>
  <si>
    <t>Pre-Condition</t>
  </si>
  <si>
    <t>FeeController</t>
  </si>
  <si>
    <t>View Fee Types List</t>
  </si>
  <si>
    <t>GetFeeTypes</t>
  </si>
  <si>
    <t/>
  </si>
  <si>
    <t>Retrieves a list of all fee types configured in the system.</t>
  </si>
  <si>
    <t>User is authenticated.</t>
  </si>
  <si>
    <t>Add New Fee Type</t>
  </si>
  <si>
    <t>CreateFeeType</t>
  </si>
  <si>
    <t>Creates a new fee type with specific pricing rules.</t>
  </si>
  <si>
    <t>User has admin or accountant privileges.</t>
  </si>
  <si>
    <t>Update Fee Type Information</t>
  </si>
  <si>
    <t>UpdateFeeType</t>
  </si>
  <si>
    <t>Update Fee Type</t>
  </si>
  <si>
    <t>Updates the details of an existing fee type.</t>
  </si>
  <si>
    <t>The selected fee type exists in the system.</t>
  </si>
  <si>
    <t>Delete Fee Type</t>
  </si>
  <si>
    <t>DeleteFeeType</t>
  </si>
  <si>
    <t>Removes a fee type from the system.</t>
  </si>
  <si>
    <t>The fee type is not currently in use by any invoice.</t>
  </si>
  <si>
    <t>UtilityController</t>
  </si>
  <si>
    <t>View Current Utility Rates</t>
  </si>
  <si>
    <t>GetUtilityRates</t>
  </si>
  <si>
    <t>View Utility Rates</t>
  </si>
  <si>
    <t>Displays the current unit prices for utilities (electricity, water).</t>
  </si>
  <si>
    <t>Setup New Utility Tiers</t>
  </si>
  <si>
    <t>CreateUtilityTier</t>
  </si>
  <si>
    <t>Setup Utility Tiers</t>
  </si>
  <si>
    <t>Sets up new pricing tiers for utility consumption.</t>
  </si>
  <si>
    <t>User has admin privileges.</t>
  </si>
  <si>
    <t>DeleteTier Unit Prices</t>
  </si>
  <si>
    <t>DeleteUtilityTier</t>
  </si>
  <si>
    <t>Delete Utility Tier</t>
  </si>
  <si>
    <t>Deletes a specific utility pricing tier.</t>
  </si>
  <si>
    <t>The tier exists and is not actively billing.</t>
  </si>
  <si>
    <t>ConfigurationController</t>
  </si>
  <si>
    <t>View current fee configuration</t>
  </si>
  <si>
    <t>GetFeeConfig</t>
  </si>
  <si>
    <t>View Fee Config</t>
  </si>
  <si>
    <t>Retrieves the current global fee configurations.</t>
  </si>
  <si>
    <t>Set configuration</t>
  </si>
  <si>
    <t>UpdateFeeConfig</t>
  </si>
  <si>
    <t>Set Config</t>
  </si>
  <si>
    <t>Updates the global fee settings.</t>
  </si>
  <si>
    <t>InvoiceController</t>
  </si>
  <si>
    <t>View Invoice List</t>
  </si>
  <si>
    <t>GetInvoices</t>
  </si>
  <si>
    <t>Displays a list of all invoices with their current status.</t>
  </si>
  <si>
    <t>View Invoice Details</t>
  </si>
  <si>
    <t>GetInvoiceById</t>
  </si>
  <si>
    <t>Shows detailed information, line items, and history of a specific invoice.</t>
  </si>
  <si>
    <t>The invoice exists in the system.</t>
  </si>
  <si>
    <t>Refund Invoice</t>
  </si>
  <si>
    <t>RefundInvoice</t>
  </si>
  <si>
    <t>Processes a refund for a paid invoice.</t>
  </si>
  <si>
    <t>The invoice is fully paid and eligible for refund.</t>
  </si>
  <si>
    <t>Bulk Approve and Issue Invoices</t>
  </si>
  <si>
    <t>BulkIssueInvoices</t>
  </si>
  <si>
    <t>Bulk Approve Invoices</t>
  </si>
  <si>
    <t>Approves and issues multiple pending invoices at once.</t>
  </si>
  <si>
    <t>Invoices must be in a pending state.</t>
  </si>
  <si>
    <t>Create Manual/Ad-hoc Invoice</t>
  </si>
  <si>
    <t>CreateManualInvoice</t>
  </si>
  <si>
    <t>Create Manual Invoice</t>
  </si>
  <si>
    <t>Creates a custom invoice not generated by automated cycles.</t>
  </si>
  <si>
    <t>User has accountant privileges.</t>
  </si>
  <si>
    <t>Adjust Invoice</t>
  </si>
  <si>
    <t>AdjustInvoice</t>
  </si>
  <si>
    <t>Adjusts amounts or line items on an existing unpaid invoice.</t>
  </si>
  <si>
    <t>The invoice is unpaid or in draft status.</t>
  </si>
  <si>
    <t>Cancel Invoice</t>
  </si>
  <si>
    <t>CancelInvoice</t>
  </si>
  <si>
    <t>Cancels an invoice, preventing further payment.</t>
  </si>
  <si>
    <t>The invoice is unpaid.</t>
  </si>
  <si>
    <t>ViolationController</t>
  </si>
  <si>
    <t>View all violation records</t>
  </si>
  <si>
    <t>GetViolations</t>
  </si>
  <si>
    <t>View Violations</t>
  </si>
  <si>
    <t>Fetches a list of all stall violation records.</t>
  </si>
  <si>
    <t>View violation details</t>
  </si>
  <si>
    <t>GetViolationById</t>
  </si>
  <si>
    <t>View Violation Details</t>
  </si>
  <si>
    <t>Displays full details of a specific violation.</t>
  </si>
  <si>
    <t>The violation record exists.</t>
  </si>
  <si>
    <t>Create an invoice for the violation</t>
  </si>
  <si>
    <t>CreateViolationInvoice</t>
  </si>
  <si>
    <t>Invoice Violation</t>
  </si>
  <si>
    <t>Generates a penalty invoice based on a violation record.</t>
  </si>
  <si>
    <t>The violation has not been billed yet.</t>
  </si>
  <si>
    <t>View Violation Types List</t>
  </si>
  <si>
    <t>GetViolationTypes</t>
  </si>
  <si>
    <t>Violation Types</t>
  </si>
  <si>
    <t>Retrieves all configured violation categories.</t>
  </si>
  <si>
    <t>Add New Violation Type</t>
  </si>
  <si>
    <t>CreateViolationType</t>
  </si>
  <si>
    <t>Add Violation Type</t>
  </si>
  <si>
    <t>Creates a new type of violation with default penalties.</t>
  </si>
  <si>
    <t>Update Violation Type Information</t>
  </si>
  <si>
    <t>UpdateViolationType</t>
  </si>
  <si>
    <t>Update Violation Type</t>
  </si>
  <si>
    <t>Updates details of an existing violation type.</t>
  </si>
  <si>
    <t>The violation type exists.</t>
  </si>
  <si>
    <t>Delete Violation Type</t>
  </si>
  <si>
    <t>DeleteViolationType</t>
  </si>
  <si>
    <t>Removes a violation type.</t>
  </si>
  <si>
    <t>The violation type is not linked to active records.</t>
  </si>
  <si>
    <t>RepairController</t>
  </si>
  <si>
    <t>View Repair Price List</t>
  </si>
  <si>
    <t>GetRepairPrices</t>
  </si>
  <si>
    <t>Repair Prices</t>
  </si>
  <si>
    <t>Displays standard prices for various repair services.</t>
  </si>
  <si>
    <t>Add New Repair Price</t>
  </si>
  <si>
    <t>CreateRepairPrice</t>
  </si>
  <si>
    <t>Add Repair Price</t>
  </si>
  <si>
    <t>Adds a new repair service and its price.</t>
  </si>
  <si>
    <t>Update Repair Price</t>
  </si>
  <si>
    <t>UpdateRepairPrice</t>
  </si>
  <si>
    <t>Updates the price of an existing repair service.</t>
  </si>
  <si>
    <t>The repair service exists.</t>
  </si>
  <si>
    <t>Delete Repair Price</t>
  </si>
  <si>
    <t>DeleteRepairPrice</t>
  </si>
  <si>
    <t>Removes a repair service from the price list.</t>
  </si>
  <si>
    <t>The service is not actively used in open requests.</t>
  </si>
  <si>
    <t>ServiceController</t>
  </si>
  <si>
    <t>View Service List</t>
  </si>
  <si>
    <t>GetServices</t>
  </si>
  <si>
    <t>View Services</t>
  </si>
  <si>
    <t>Lists all available external or internal services.</t>
  </si>
  <si>
    <t>Add New Service</t>
  </si>
  <si>
    <t>CreateService</t>
  </si>
  <si>
    <t>Add Service</t>
  </si>
  <si>
    <t>Registers a new service.</t>
  </si>
  <si>
    <t>Update Service</t>
  </si>
  <si>
    <t>UpdateService</t>
  </si>
  <si>
    <t>Modifies details of an existing service.</t>
  </si>
  <si>
    <t>The service exists.</t>
  </si>
  <si>
    <t>Delete Service</t>
  </si>
  <si>
    <t>DeleteService</t>
  </si>
  <si>
    <t>Removes a service from the catalog.</t>
  </si>
  <si>
    <t>The service has no active subscriptions.</t>
  </si>
  <si>
    <t>PaymentController</t>
  </si>
  <si>
    <t>View Pending Verification List</t>
  </si>
  <si>
    <t>GetPendingPayments</t>
  </si>
  <si>
    <t>Pending Payments</t>
  </si>
  <si>
    <t>Shows all payments awaiting manual verification.</t>
  </si>
  <si>
    <t>Approve/decline payment</t>
  </si>
  <si>
    <t>VerifyPayment</t>
  </si>
  <si>
    <t>Verify Payment</t>
  </si>
  <si>
    <t>Approves or declines a pending payment transaction.</t>
  </si>
  <si>
    <t>The payment transaction is in pending state.</t>
  </si>
  <si>
    <t>Look up invoices by stall</t>
  </si>
  <si>
    <t>GetInvoicesByStall</t>
  </si>
  <si>
    <t>Stall Invoices</t>
  </si>
  <si>
    <t>Searches for all invoices related to a specific stall.</t>
  </si>
  <si>
    <t>The stall exists.</t>
  </si>
  <si>
    <t>View transaction details</t>
  </si>
  <si>
    <t>GetTransactionById</t>
  </si>
  <si>
    <t>Transaction Details</t>
  </si>
  <si>
    <t>Displays full details of a specific payment transaction.</t>
  </si>
  <si>
    <t>The transaction exists.</t>
  </si>
  <si>
    <t>DebtController</t>
  </si>
  <si>
    <t>View Overdue Stall List</t>
  </si>
  <si>
    <t>GetOverdueStalls</t>
  </si>
  <si>
    <t>Overdue Stalls</t>
  </si>
  <si>
    <t>Lists all stalls with overdue payments.</t>
  </si>
  <si>
    <t>View detailed stall debts</t>
  </si>
  <si>
    <t>GetStallDebtDetails</t>
  </si>
  <si>
    <t>Stall Debts</t>
  </si>
  <si>
    <t>Shows a detailed breakdown of debts for a stall.</t>
  </si>
  <si>
    <t>The stall has recorded debts.</t>
  </si>
  <si>
    <t>AccountantController</t>
  </si>
  <si>
    <t>View profile for accountant</t>
  </si>
  <si>
    <t>GetAccountantProfile</t>
  </si>
  <si>
    <t>View Profile</t>
  </si>
  <si>
    <t>Retrieves the profile information for the logged-in accountant.</t>
  </si>
  <si>
    <t>User is logged in as accountant.</t>
  </si>
  <si>
    <t>Edit profile for accountant</t>
  </si>
  <si>
    <t>UpdateAccountantProfile</t>
  </si>
  <si>
    <t>Edit Profile</t>
  </si>
  <si>
    <t>Updates the accountant’s personal information.</t>
  </si>
  <si>
    <t>Change Password for accountant</t>
  </si>
  <si>
    <t>ChangePassword</t>
  </si>
  <si>
    <t>Change Password</t>
  </si>
  <si>
    <t>Changes the login password for the accountant account.</t>
  </si>
  <si>
    <t>User knows their current password.</t>
  </si>
  <si>
    <t>NotificationController</t>
  </si>
  <si>
    <t>Send Debt Notifications</t>
  </si>
  <si>
    <t>SendDebtNoti</t>
  </si>
  <si>
    <t>Send Debt Noti</t>
  </si>
  <si>
    <t>Sends automated or manual debt reminders to stall owners.</t>
  </si>
  <si>
    <t>Stalls have overdue debts.</t>
  </si>
  <si>
    <t>ReportController</t>
  </si>
  <si>
    <t>View Revenue Summary</t>
  </si>
  <si>
    <t>GetRevenueSummary</t>
  </si>
  <si>
    <t>Revenue Summary</t>
  </si>
  <si>
    <t>Displays a summary of revenue over a specified period.</t>
  </si>
  <si>
    <t>User has management/accountant privileges.</t>
  </si>
  <si>
    <t>Export Report</t>
  </si>
  <si>
    <t>ExportRevenueReport</t>
  </si>
  <si>
    <t>Exports the revenue summary to Excel or PDF.</t>
  </si>
  <si>
    <t>Report data is available.</t>
  </si>
  <si>
    <t>View list notification</t>
  </si>
  <si>
    <t>GetNotifications</t>
  </si>
  <si>
    <t>View Notifications</t>
  </si>
  <si>
    <t>Fetches all system notifications for the user.</t>
  </si>
  <si>
    <t>Read notification details</t>
  </si>
  <si>
    <t>MarkAsRead</t>
  </si>
  <si>
    <t>Read Notification</t>
  </si>
  <si>
    <t>Views notification details and marks it as read.</t>
  </si>
  <si>
    <t>The notification exists and is unread.</t>
  </si>
  <si>
    <t>Mark all as read</t>
  </si>
  <si>
    <t>MarkAllAsRead</t>
  </si>
  <si>
    <t>Mark All Read</t>
  </si>
  <si>
    <t>Marks all unread notifications as read.</t>
  </si>
  <si>
    <t>User has unread notifications.</t>
  </si>
  <si>
    <t>Delete notification</t>
  </si>
  <si>
    <t>DeleteNotification</t>
  </si>
  <si>
    <t>Delete Notification</t>
  </si>
  <si>
    <t>Removes a notification from the panel.</t>
  </si>
  <si>
    <t>The notification exists.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</si>
</sst>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mm-yy;@"/>
  </numFmts>
  <fonts count="18" x14ac:knownFonts="1">
    <font>
      <color theme="1"/>
      <family val="2"/>
      <scheme val="minor"/>
      <sz val="11"/>
      <name val="Calibri"/>
    </font>
    <font>
      <family val="2"/>
      <sz val="10"/>
      <name val="Tahoma"/>
    </font>
    <font>
      <b/>
      <color indexed="10"/>
      <family val="2"/>
      <sz val="22"/>
      <name val="Tahoma"/>
    </font>
    <font>
      <b/>
      <color indexed="10"/>
      <family val="2"/>
      <sz val="26"/>
      <name val="Tahoma"/>
    </font>
    <font>
      <b/>
      <color indexed="8"/>
      <family val="2"/>
      <sz val="20"/>
      <name val="Tahoma"/>
    </font>
    <font>
      <b/>
      <color indexed="60"/>
      <family val="2"/>
      <sz val="10"/>
      <name val="Tahoma"/>
    </font>
    <font>
      <i/>
      <color indexed="17"/>
      <family val="2"/>
      <sz val="10"/>
      <name val="Tahoma"/>
    </font>
    <font>
      <b/>
      <color indexed="9"/>
      <family val="2"/>
      <sz val="10"/>
      <name val="Tahoma"/>
    </font>
    <font>
      <color indexed="10"/>
      <family val="2"/>
      <sz val="10"/>
      <name val="Tahoma"/>
    </font>
    <font>
      <color indexed="8"/>
      <family val="2"/>
      <sz val="10"/>
      <name val="Tahoma"/>
    </font>
    <font>
      <b/>
      <family val="2"/>
      <sz val="10"/>
      <name val="Tahoma"/>
    </font>
    <font>
      <b/>
      <i/>
      <family val="2"/>
      <sz val="10"/>
      <name val="Tahoma"/>
    </font>
    <font>
      <b/>
      <color indexed="8"/>
      <family val="2"/>
      <sz val="10"/>
      <name val="Tahoma"/>
    </font>
    <font>
      <b/>
      <color indexed="10"/>
      <family val="2"/>
      <sz val="10"/>
      <name val="Tahoma"/>
    </font>
    <font>
      <color indexed="9"/>
      <family val="2"/>
      <sz val="10"/>
      <name val="Tahoma"/>
    </font>
    <font>
      <b/>
      <color indexed="12"/>
      <family val="2"/>
      <sz val="10"/>
      <name val="Tahoma"/>
    </font>
    <font>
      <b/>
      <color rgb="FFFFFFFF"/>
    </font>
    <font>
      <u/>
      <color rgb="FF0000FF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rgb="FF1F2D86"/>
      </patternFill>
    </fill>
  </fills>
  <borders count="4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/>
      <right style="thin"/>
      <top style="thin"/>
      <bottom style="thin"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2" borderId="0" xfId="0" applyFont="1" applyFill="1" applyAlignment="1">
      <alignment horizontal="left" indent="1"/>
    </xf>
    <xf numFmtId="0" fontId="6" fillId="0" borderId="0" xfId="0" applyFont="1" applyAlignment="1">
      <alignment horizontal="left" indent="1"/>
    </xf>
    <xf numFmtId="0" fontId="1" fillId="2" borderId="0" xfId="0" applyFont="1" applyFill="1"/>
    <xf numFmtId="0" fontId="5" fillId="2" borderId="4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" fillId="0" borderId="3" xfId="0" applyFont="1" applyBorder="1"/>
    <xf numFmtId="0" fontId="5" fillId="2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indent="1"/>
    </xf>
    <xf numFmtId="0" fontId="5" fillId="2" borderId="0" xfId="0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6" fillId="0" borderId="8" xfId="0" applyFont="1" applyBorder="1" applyAlignment="1">
      <alignment vertical="top" wrapText="1"/>
    </xf>
    <xf numFmtId="49" fontId="1" fillId="0" borderId="9" xfId="0" applyNumberFormat="1" applyFont="1" applyBorder="1" applyAlignment="1">
      <alignment vertical="top"/>
    </xf>
    <xf numFmtId="0" fontId="1" fillId="0" borderId="9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0" fontId="6" fillId="0" borderId="10" xfId="0" applyFont="1" applyBorder="1" applyAlignment="1">
      <alignment vertical="top" wrapText="1"/>
    </xf>
    <xf numFmtId="164" fontId="1" fillId="0" borderId="8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1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2" borderId="0" xfId="0" applyFont="1" applyFill="1"/>
    <xf numFmtId="0" fontId="9" fillId="2" borderId="0" xfId="0" applyFont="1" applyFill="1"/>
    <xf numFmtId="0" fontId="10" fillId="2" borderId="14" xfId="0" applyFont="1" applyFill="1" applyBorder="1" applyAlignment="1">
      <alignment vertical="top" wrapText="1"/>
    </xf>
    <xf numFmtId="0" fontId="1" fillId="2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17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10" fillId="2" borderId="18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11" fillId="2" borderId="18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top" wrapText="1"/>
    </xf>
    <xf numFmtId="0" fontId="1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1" fillId="2" borderId="21" xfId="0" applyFon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0" fontId="7" fillId="4" borderId="2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5" borderId="26" xfId="0" applyFont="1" applyFill="1" applyBorder="1" applyAlignment="1">
      <alignment horizontal="left" vertical="center"/>
    </xf>
    <xf numFmtId="0" fontId="10" fillId="5" borderId="27" xfId="0" applyFont="1" applyFill="1" applyBorder="1" applyAlignment="1">
      <alignment horizontal="left" vertical="center"/>
    </xf>
    <xf numFmtId="0" fontId="10" fillId="5" borderId="28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top"/>
    </xf>
    <xf numFmtId="0" fontId="1" fillId="2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/>
    </xf>
    <xf numFmtId="0" fontId="1" fillId="2" borderId="4" xfId="0" applyFont="1" applyFill="1" applyBorder="1"/>
    <xf numFmtId="0" fontId="4" fillId="2" borderId="0" xfId="0" applyFont="1" applyFill="1" applyAlignment="1">
      <alignment horizontal="center"/>
    </xf>
    <xf numFmtId="0" fontId="10" fillId="2" borderId="0" xfId="0" applyFont="1" applyFill="1"/>
    <xf numFmtId="164" fontId="1" fillId="2" borderId="0" xfId="0" applyNumberFormat="1" applyFont="1" applyFill="1"/>
    <xf numFmtId="0" fontId="6" fillId="2" borderId="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/>
    </xf>
    <xf numFmtId="0" fontId="5" fillId="2" borderId="4" xfId="0" applyFont="1" applyFill="1" applyBorder="1" applyAlignment="1">
      <alignment vertical="center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0" xfId="0" applyFont="1" applyFill="1"/>
    <xf numFmtId="0" fontId="1" fillId="2" borderId="29" xfId="0" applyFont="1" applyFill="1" applyBorder="1"/>
    <xf numFmtId="0" fontId="7" fillId="3" borderId="30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wrapText="1"/>
    </xf>
    <xf numFmtId="0" fontId="7" fillId="3" borderId="31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4" fillId="3" borderId="36" xfId="0" applyFont="1" applyFill="1" applyBorder="1" applyAlignment="1">
      <alignment horizontal="center"/>
    </xf>
    <xf numFmtId="0" fontId="7" fillId="3" borderId="12" xfId="0" applyFont="1" applyFill="1" applyBorder="1"/>
    <xf numFmtId="0" fontId="14" fillId="3" borderId="12" xfId="0" applyFont="1" applyFill="1" applyBorder="1" applyAlignment="1">
      <alignment horizontal="center"/>
    </xf>
    <xf numFmtId="0" fontId="14" fillId="3" borderId="3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5" fillId="2" borderId="0" xfId="0" applyNumberFormat="1" applyFont="1" applyFill="1" applyAlignment="1">
      <alignment horizontal="right" wrapText="1"/>
    </xf>
    <xf numFmtId="0" fontId="16" fillId="6" borderId="38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left" vertical="center" wrapText="1"/>
    </xf>
    <xf numFmtId="0" fontId="17" fillId="0" borderId="3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525780</xdr:colOff>
      <xdr:row>1</xdr:row>
      <xdr:rowOff>99060</xdr:rowOff>
    </xdr:from>
    <xdr:to>
      <xdr:col>3</xdr:col>
      <xdr:colOff>464820</xdr:colOff>
      <xdr:row>1</xdr:row>
      <xdr:rowOff>800100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View Fee Types List&apos;!A1" TargetMode="External"/><Relationship Id="rId2" Type="http://schemas.openxmlformats.org/officeDocument/2006/relationships/hyperlink" Target="#&apos;Add New Fee Type&apos;!A1" TargetMode="External"/><Relationship Id="rId3" Type="http://schemas.openxmlformats.org/officeDocument/2006/relationships/hyperlink" Target="#&apos;Update Fee Type&apos;!A1" TargetMode="External"/><Relationship Id="rId4" Type="http://schemas.openxmlformats.org/officeDocument/2006/relationships/hyperlink" Target="#&apos;Delete Fee Type&apos;!A1" TargetMode="External"/><Relationship Id="rId5" Type="http://schemas.openxmlformats.org/officeDocument/2006/relationships/hyperlink" Target="#&apos;View Utility Rates&apos;!A1" TargetMode="External"/><Relationship Id="rId6" Type="http://schemas.openxmlformats.org/officeDocument/2006/relationships/hyperlink" Target="#&apos;Setup Utility Tiers&apos;!A1" TargetMode="External"/><Relationship Id="rId7" Type="http://schemas.openxmlformats.org/officeDocument/2006/relationships/hyperlink" Target="#&apos;Delete Utility Tier&apos;!A1" TargetMode="External"/><Relationship Id="rId8" Type="http://schemas.openxmlformats.org/officeDocument/2006/relationships/hyperlink" Target="#&apos;View Fee Config&apos;!A1" TargetMode="External"/><Relationship Id="rId9" Type="http://schemas.openxmlformats.org/officeDocument/2006/relationships/hyperlink" Target="#&apos;Set Config&apos;!A1" TargetMode="External"/><Relationship Id="rId10" Type="http://schemas.openxmlformats.org/officeDocument/2006/relationships/hyperlink" Target="#&apos;View Invoice List&apos;!A1" TargetMode="External"/><Relationship Id="rId11" Type="http://schemas.openxmlformats.org/officeDocument/2006/relationships/hyperlink" Target="#&apos;View Invoice Details&apos;!A1" TargetMode="External"/><Relationship Id="rId12" Type="http://schemas.openxmlformats.org/officeDocument/2006/relationships/hyperlink" Target="#&apos;Refund Invoice&apos;!A1" TargetMode="External"/><Relationship Id="rId13" Type="http://schemas.openxmlformats.org/officeDocument/2006/relationships/hyperlink" Target="#&apos;Bulk Approve Invoices&apos;!A1" TargetMode="External"/><Relationship Id="rId14" Type="http://schemas.openxmlformats.org/officeDocument/2006/relationships/hyperlink" Target="#&apos;Create Manual Invoice&apos;!A1" TargetMode="External"/><Relationship Id="rId15" Type="http://schemas.openxmlformats.org/officeDocument/2006/relationships/hyperlink" Target="#&apos;Adjust Invoice&apos;!A1" TargetMode="External"/><Relationship Id="rId16" Type="http://schemas.openxmlformats.org/officeDocument/2006/relationships/hyperlink" Target="#&apos;Cancel Invoice&apos;!A1" TargetMode="External"/><Relationship Id="rId17" Type="http://schemas.openxmlformats.org/officeDocument/2006/relationships/hyperlink" Target="#&apos;View Violations&apos;!A1" TargetMode="External"/><Relationship Id="rId18" Type="http://schemas.openxmlformats.org/officeDocument/2006/relationships/hyperlink" Target="#&apos;View Violation Details&apos;!A1" TargetMode="External"/><Relationship Id="rId19" Type="http://schemas.openxmlformats.org/officeDocument/2006/relationships/hyperlink" Target="#&apos;Invoice Violation&apos;!A1" TargetMode="External"/><Relationship Id="rId20" Type="http://schemas.openxmlformats.org/officeDocument/2006/relationships/hyperlink" Target="#&apos;Violation Types&apos;!A1" TargetMode="External"/><Relationship Id="rId21" Type="http://schemas.openxmlformats.org/officeDocument/2006/relationships/hyperlink" Target="#&apos;Add Violation Type&apos;!A1" TargetMode="External"/><Relationship Id="rId22" Type="http://schemas.openxmlformats.org/officeDocument/2006/relationships/hyperlink" Target="#&apos;Update Violation Type&apos;!A1" TargetMode="External"/><Relationship Id="rId23" Type="http://schemas.openxmlformats.org/officeDocument/2006/relationships/hyperlink" Target="#&apos;Delete Violation Type&apos;!A1" TargetMode="External"/><Relationship Id="rId24" Type="http://schemas.openxmlformats.org/officeDocument/2006/relationships/hyperlink" Target="#&apos;Repair Prices&apos;!A1" TargetMode="External"/><Relationship Id="rId25" Type="http://schemas.openxmlformats.org/officeDocument/2006/relationships/hyperlink" Target="#&apos;Add Repair Price&apos;!A1" TargetMode="External"/><Relationship Id="rId26" Type="http://schemas.openxmlformats.org/officeDocument/2006/relationships/hyperlink" Target="#&apos;Update Repair Price&apos;!A1" TargetMode="External"/><Relationship Id="rId27" Type="http://schemas.openxmlformats.org/officeDocument/2006/relationships/hyperlink" Target="#&apos;Delete Repair Price&apos;!A1" TargetMode="External"/><Relationship Id="rId28" Type="http://schemas.openxmlformats.org/officeDocument/2006/relationships/hyperlink" Target="#&apos;View Services&apos;!A1" TargetMode="External"/><Relationship Id="rId29" Type="http://schemas.openxmlformats.org/officeDocument/2006/relationships/hyperlink" Target="#&apos;Add Service&apos;!A1" TargetMode="External"/><Relationship Id="rId30" Type="http://schemas.openxmlformats.org/officeDocument/2006/relationships/hyperlink" Target="#&apos;Update Service&apos;!A1" TargetMode="External"/><Relationship Id="rId31" Type="http://schemas.openxmlformats.org/officeDocument/2006/relationships/hyperlink" Target="#&apos;Delete Service&apos;!A1" TargetMode="External"/><Relationship Id="rId32" Type="http://schemas.openxmlformats.org/officeDocument/2006/relationships/hyperlink" Target="#&apos;Pending Payments&apos;!A1" TargetMode="External"/><Relationship Id="rId33" Type="http://schemas.openxmlformats.org/officeDocument/2006/relationships/hyperlink" Target="#&apos;Verify Payment&apos;!A1" TargetMode="External"/><Relationship Id="rId34" Type="http://schemas.openxmlformats.org/officeDocument/2006/relationships/hyperlink" Target="#&apos;Stall Invoices&apos;!A1" TargetMode="External"/><Relationship Id="rId35" Type="http://schemas.openxmlformats.org/officeDocument/2006/relationships/hyperlink" Target="#&apos;Transaction Details&apos;!A1" TargetMode="External"/><Relationship Id="rId36" Type="http://schemas.openxmlformats.org/officeDocument/2006/relationships/hyperlink" Target="#&apos;Overdue Stalls&apos;!A1" TargetMode="External"/><Relationship Id="rId37" Type="http://schemas.openxmlformats.org/officeDocument/2006/relationships/hyperlink" Target="#&apos;Stall Debts&apos;!A1" TargetMode="External"/><Relationship Id="rId38" Type="http://schemas.openxmlformats.org/officeDocument/2006/relationships/hyperlink" Target="#&apos;View Profile&apos;!A1" TargetMode="External"/><Relationship Id="rId39" Type="http://schemas.openxmlformats.org/officeDocument/2006/relationships/hyperlink" Target="#&apos;Edit Profile&apos;!A1" TargetMode="External"/><Relationship Id="rId40" Type="http://schemas.openxmlformats.org/officeDocument/2006/relationships/hyperlink" Target="#&apos;Change Password&apos;!A1" TargetMode="External"/><Relationship Id="rId41" Type="http://schemas.openxmlformats.org/officeDocument/2006/relationships/hyperlink" Target="#&apos;Send Debt Noti&apos;!A1" TargetMode="External"/><Relationship Id="rId42" Type="http://schemas.openxmlformats.org/officeDocument/2006/relationships/hyperlink" Target="#&apos;Revenue Summary&apos;!A1" TargetMode="External"/><Relationship Id="rId43" Type="http://schemas.openxmlformats.org/officeDocument/2006/relationships/hyperlink" Target="#&apos;Export Report&apos;!A1" TargetMode="External"/><Relationship Id="rId44" Type="http://schemas.openxmlformats.org/officeDocument/2006/relationships/hyperlink" Target="#&apos;View Notifications&apos;!A1" TargetMode="External"/><Relationship Id="rId45" Type="http://schemas.openxmlformats.org/officeDocument/2006/relationships/hyperlink" Target="#&apos;Read Notification&apos;!A1" TargetMode="External"/><Relationship Id="rId46" Type="http://schemas.openxmlformats.org/officeDocument/2006/relationships/hyperlink" Target="#&apos;Mark All Read&apos;!A1" TargetMode="External"/><Relationship Id="rId47" Type="http://schemas.openxmlformats.org/officeDocument/2006/relationships/hyperlink" Target="#&apos;Delete Notification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 zoomScale="100" zoomScaleNormal="100">
      <selection activeCell="E13" sqref="E13"/>
    </sheetView>
  </sheetViews>
  <sheetFormatPr defaultRowHeight="12.75" outlineLevelRow="0" outlineLevelCol="0" x14ac:dyDescent="0.15" defaultColWidth="8.99609375" customHeight="1"/>
  <cols>
    <col min="1" max="1" width="2.31640625" style="1" customWidth="1"/>
    <col min="2" max="2" width="19.6328125" style="2" customWidth="1"/>
    <col min="3" max="3" width="9.1328125" style="1" customWidth="1"/>
    <col min="4" max="4" width="14.453125" style="1" customWidth="1"/>
    <col min="5" max="5" width="8.04296875" style="1" customWidth="1"/>
    <col min="6" max="7" width="31.08984375" style="1" customWidth="1"/>
    <col min="8" max="16384" width="8.99609375" style="1" customWidth="1"/>
  </cols>
  <sheetData>
    <row r="2" ht="75.75" customHeight="1" spans="1:7" s="3" customFormat="1" x14ac:dyDescent="0.25">
      <c r="A2" s="4"/>
      <c r="B2" s="5"/>
      <c r="C2" s="6"/>
      <c r="D2" s="7"/>
      <c r="E2" s="8" t="s">
        <v>0</v>
      </c>
      <c r="F2" s="9"/>
      <c r="G2" s="10"/>
    </row>
    <row r="3" spans="2:6" x14ac:dyDescent="0.25">
      <c r="B3" s="11"/>
      <c r="C3" s="12"/>
      <c r="F3" s="13"/>
    </row>
    <row r="4" ht="14.25" customHeight="1" spans="2:7" x14ac:dyDescent="0.25">
      <c r="B4" s="14" t="s">
        <v>1</v>
      </c>
      <c r="C4" s="15" t="s">
        <v>2</v>
      </c>
      <c r="D4" s="15"/>
      <c r="E4" s="15"/>
      <c r="F4" s="14" t="s">
        <v>3</v>
      </c>
      <c r="G4" s="16"/>
    </row>
    <row r="5" ht="14.25" customHeight="1" spans="2:7" x14ac:dyDescent="0.25">
      <c r="B5" s="14" t="s">
        <v>4</v>
      </c>
      <c r="C5" s="15" t="s">
        <v>5</v>
      </c>
      <c r="D5" s="15"/>
      <c r="E5" s="15"/>
      <c r="F5" s="14" t="s">
        <v>6</v>
      </c>
      <c r="G5" s="16"/>
    </row>
    <row r="6" ht="15.75" customHeight="1" spans="2:7" x14ac:dyDescent="0.25">
      <c r="B6" s="17" t="s">
        <v>7</v>
      </c>
      <c r="C6" s="18" t="str">
        <f>C5&amp;"_"&amp;"XXX"&amp;"_"&amp;"vx.x"</f>
        <v>&lt;Project Code&gt;_XXX_vx.x</v>
      </c>
      <c r="D6" s="18"/>
      <c r="E6" s="18"/>
      <c r="F6" s="14" t="s">
        <v>8</v>
      </c>
      <c r="G6" s="19"/>
    </row>
    <row r="7" ht="13.5" customHeight="1" spans="2:7" x14ac:dyDescent="0.25">
      <c r="B7" s="17"/>
      <c r="C7" s="18"/>
      <c r="D7" s="18"/>
      <c r="E7" s="18"/>
      <c r="F7" s="14" t="s">
        <v>9</v>
      </c>
      <c r="G7" s="19"/>
    </row>
    <row r="8" spans="2:7" x14ac:dyDescent="0.25">
      <c r="B8" s="20"/>
      <c r="C8" s="21"/>
      <c r="F8" s="11"/>
      <c r="G8" s="12"/>
    </row>
    <row r="10" spans="2:2" x14ac:dyDescent="0.25">
      <c r="B10" s="22" t="s">
        <v>10</v>
      </c>
    </row>
    <row r="11" spans="2:7" s="23" customFormat="1" x14ac:dyDescent="0.25">
      <c r="B11" s="24" t="s">
        <v>11</v>
      </c>
      <c r="C11" s="25" t="s">
        <v>9</v>
      </c>
      <c r="D11" s="25" t="s">
        <v>12</v>
      </c>
      <c r="E11" s="25" t="s">
        <v>13</v>
      </c>
      <c r="F11" s="25" t="s">
        <v>14</v>
      </c>
      <c r="G11" s="26" t="s">
        <v>15</v>
      </c>
    </row>
    <row r="12" ht="24.75" customHeight="1" spans="2:7" s="27" customFormat="1" x14ac:dyDescent="0.25">
      <c r="B12" s="28" t="s">
        <v>16</v>
      </c>
      <c r="C12" s="29"/>
      <c r="D12" s="30"/>
      <c r="E12" s="30"/>
      <c r="F12" s="31"/>
      <c r="G12" s="32" t="s">
        <v>17</v>
      </c>
    </row>
    <row r="13" ht="21.75" customHeight="1" spans="2:7" s="27" customFormat="1" x14ac:dyDescent="0.25">
      <c r="B13" s="33"/>
      <c r="C13" s="29"/>
      <c r="D13" s="30"/>
      <c r="E13" s="30"/>
      <c r="F13" s="30"/>
      <c r="G13" s="34"/>
    </row>
    <row r="14" ht="19.5" customHeight="1" spans="2:7" s="27" customFormat="1" x14ac:dyDescent="0.25">
      <c r="B14" s="33"/>
      <c r="C14" s="29"/>
      <c r="D14" s="30"/>
      <c r="E14" s="30"/>
      <c r="F14" s="30"/>
      <c r="G14" s="34"/>
    </row>
    <row r="15" ht="21.75" customHeight="1" spans="2:7" s="27" customFormat="1" x14ac:dyDescent="0.25">
      <c r="B15" s="33"/>
      <c r="C15" s="29"/>
      <c r="D15" s="30"/>
      <c r="E15" s="30"/>
      <c r="F15" s="30"/>
      <c r="G15" s="34"/>
    </row>
    <row r="16" ht="19.5" customHeight="1" spans="2:7" s="27" customFormat="1" x14ac:dyDescent="0.25">
      <c r="B16" s="33"/>
      <c r="C16" s="29"/>
      <c r="D16" s="30"/>
      <c r="E16" s="30"/>
      <c r="F16" s="30"/>
      <c r="G16" s="34"/>
    </row>
    <row r="17" ht="21.75" customHeight="1" spans="2:7" s="27" customFormat="1" x14ac:dyDescent="0.25">
      <c r="B17" s="33"/>
      <c r="C17" s="29"/>
      <c r="D17" s="30"/>
      <c r="E17" s="30"/>
      <c r="F17" s="30"/>
      <c r="G17" s="34"/>
    </row>
    <row r="18" ht="19.5" customHeight="1" spans="2:7" s="27" customFormat="1" x14ac:dyDescent="0.25">
      <c r="B18" s="35"/>
      <c r="C18" s="36"/>
      <c r="D18" s="37"/>
      <c r="E18" s="37"/>
      <c r="F18" s="37"/>
      <c r="G18" s="38"/>
    </row>
  </sheetData>
  <mergeCells count="6">
    <mergeCell ref="B2:D2"/>
    <mergeCell ref="E2:G2"/>
    <mergeCell ref="C4:E4"/>
    <mergeCell ref="C5:E5"/>
    <mergeCell ref="C6:E7"/>
    <mergeCell ref="B6:B7"/>
  </mergeCells>
  <pageMargins left="0.4701388888888889" right="0.4701388888888889" top="0.5" bottom="0.35138888888888886" header="0.5118055555555556" footer="0.1701388888888889"/>
  <pageSetup paperSize="9" orientation="landscape" horizontalDpi="300" verticalDpi="300" scale="100" fitToWidth="1" fitToHeight="1" firstPageNumber="0" copies="1"/>
  <headerFooter>
    <oddFooter>&amp;L&amp;"Tahoma,Regular"&amp;8 02ae-BM/PM/HDCV/FSOFT v2/0&amp;C&amp;"Tahoma,Regular"&amp;8Internal use&amp;R&amp;"tahomaTahoma,Regular"&amp;8&amp;P/&amp;N</oddFooter>
  </headerFooter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5" width="25" customWidth="1"/>
    <col min="6" max="6" width="20" customWidth="1"/>
    <col min="7" max="7" width="50" customWidth="1"/>
    <col min="8" max="8" width="45" customWidth="1"/>
  </cols>
  <sheetData>
    <row r="1" spans="1:8" x14ac:dyDescent="0.25">
      <c r="A1" s="112" t="s">
        <v>64</v>
      </c>
      <c r="B1" s="112" t="s">
        <v>71</v>
      </c>
      <c r="C1" s="112" t="s">
        <v>72</v>
      </c>
      <c r="D1" s="112" t="s">
        <v>73</v>
      </c>
      <c r="E1" s="112" t="s">
        <v>74</v>
      </c>
      <c r="F1" s="112" t="s">
        <v>75</v>
      </c>
      <c r="G1" s="112" t="s">
        <v>76</v>
      </c>
      <c r="H1" s="112" t="s">
        <v>77</v>
      </c>
    </row>
    <row r="2" spans="1:8" x14ac:dyDescent="0.25">
      <c r="A2" s="113">
        <v>1</v>
      </c>
      <c r="B2" s="114" t="s">
        <v>78</v>
      </c>
      <c r="C2" s="114" t="s">
        <v>79</v>
      </c>
      <c r="D2" s="114" t="s">
        <v>80</v>
      </c>
      <c r="E2" s="114" t="s">
        <v>81</v>
      </c>
      <c r="F2" s="115" t="s">
        <v>79</v>
      </c>
      <c r="G2" s="114" t="s">
        <v>82</v>
      </c>
      <c r="H2" s="114" t="s">
        <v>83</v>
      </c>
    </row>
    <row r="3" spans="1:8" x14ac:dyDescent="0.25">
      <c r="A3" s="113">
        <v>2</v>
      </c>
      <c r="B3" s="114" t="s">
        <v>78</v>
      </c>
      <c r="C3" s="114" t="s">
        <v>84</v>
      </c>
      <c r="D3" s="114" t="s">
        <v>85</v>
      </c>
      <c r="E3" s="114" t="s">
        <v>81</v>
      </c>
      <c r="F3" s="115" t="s">
        <v>84</v>
      </c>
      <c r="G3" s="114" t="s">
        <v>86</v>
      </c>
      <c r="H3" s="114" t="s">
        <v>87</v>
      </c>
    </row>
    <row r="4" spans="1:8" x14ac:dyDescent="0.25">
      <c r="A4" s="113">
        <v>3</v>
      </c>
      <c r="B4" s="114" t="s">
        <v>78</v>
      </c>
      <c r="C4" s="114" t="s">
        <v>88</v>
      </c>
      <c r="D4" s="114" t="s">
        <v>89</v>
      </c>
      <c r="E4" s="114" t="s">
        <v>81</v>
      </c>
      <c r="F4" s="115" t="s">
        <v>90</v>
      </c>
      <c r="G4" s="114" t="s">
        <v>91</v>
      </c>
      <c r="H4" s="114" t="s">
        <v>92</v>
      </c>
    </row>
    <row r="5" spans="1:8" x14ac:dyDescent="0.25">
      <c r="A5" s="113">
        <v>4</v>
      </c>
      <c r="B5" s="114" t="s">
        <v>78</v>
      </c>
      <c r="C5" s="114" t="s">
        <v>93</v>
      </c>
      <c r="D5" s="114" t="s">
        <v>94</v>
      </c>
      <c r="E5" s="114" t="s">
        <v>81</v>
      </c>
      <c r="F5" s="115" t="s">
        <v>93</v>
      </c>
      <c r="G5" s="114" t="s">
        <v>95</v>
      </c>
      <c r="H5" s="114" t="s">
        <v>96</v>
      </c>
    </row>
    <row r="6" spans="1:8" x14ac:dyDescent="0.25">
      <c r="A6" s="113">
        <v>5</v>
      </c>
      <c r="B6" s="114" t="s">
        <v>97</v>
      </c>
      <c r="C6" s="114" t="s">
        <v>98</v>
      </c>
      <c r="D6" s="114" t="s">
        <v>99</v>
      </c>
      <c r="E6" s="114" t="s">
        <v>81</v>
      </c>
      <c r="F6" s="115" t="s">
        <v>100</v>
      </c>
      <c r="G6" s="114" t="s">
        <v>101</v>
      </c>
      <c r="H6" s="114" t="s">
        <v>83</v>
      </c>
    </row>
    <row r="7" spans="1:8" x14ac:dyDescent="0.25">
      <c r="A7" s="113">
        <v>6</v>
      </c>
      <c r="B7" s="114" t="s">
        <v>97</v>
      </c>
      <c r="C7" s="114" t="s">
        <v>102</v>
      </c>
      <c r="D7" s="114" t="s">
        <v>103</v>
      </c>
      <c r="E7" s="114" t="s">
        <v>81</v>
      </c>
      <c r="F7" s="115" t="s">
        <v>104</v>
      </c>
      <c r="G7" s="114" t="s">
        <v>105</v>
      </c>
      <c r="H7" s="114" t="s">
        <v>106</v>
      </c>
    </row>
    <row r="8" spans="1:8" x14ac:dyDescent="0.25">
      <c r="A8" s="113">
        <v>7</v>
      </c>
      <c r="B8" s="114" t="s">
        <v>97</v>
      </c>
      <c r="C8" s="114" t="s">
        <v>107</v>
      </c>
      <c r="D8" s="114" t="s">
        <v>108</v>
      </c>
      <c r="E8" s="114" t="s">
        <v>81</v>
      </c>
      <c r="F8" s="115" t="s">
        <v>109</v>
      </c>
      <c r="G8" s="114" t="s">
        <v>110</v>
      </c>
      <c r="H8" s="114" t="s">
        <v>111</v>
      </c>
    </row>
    <row r="9" spans="1:8" x14ac:dyDescent="0.25">
      <c r="A9" s="113">
        <v>8</v>
      </c>
      <c r="B9" s="114" t="s">
        <v>112</v>
      </c>
      <c r="C9" s="114" t="s">
        <v>113</v>
      </c>
      <c r="D9" s="114" t="s">
        <v>114</v>
      </c>
      <c r="E9" s="114" t="s">
        <v>81</v>
      </c>
      <c r="F9" s="115" t="s">
        <v>115</v>
      </c>
      <c r="G9" s="114" t="s">
        <v>116</v>
      </c>
      <c r="H9" s="114" t="s">
        <v>83</v>
      </c>
    </row>
    <row r="10" spans="1:8" x14ac:dyDescent="0.25">
      <c r="A10" s="113">
        <v>9</v>
      </c>
      <c r="B10" s="114" t="s">
        <v>112</v>
      </c>
      <c r="C10" s="114" t="s">
        <v>117</v>
      </c>
      <c r="D10" s="114" t="s">
        <v>118</v>
      </c>
      <c r="E10" s="114" t="s">
        <v>81</v>
      </c>
      <c r="F10" s="115" t="s">
        <v>119</v>
      </c>
      <c r="G10" s="114" t="s">
        <v>120</v>
      </c>
      <c r="H10" s="114" t="s">
        <v>106</v>
      </c>
    </row>
    <row r="11" spans="1:8" x14ac:dyDescent="0.25">
      <c r="A11" s="113">
        <v>10</v>
      </c>
      <c r="B11" s="114" t="s">
        <v>121</v>
      </c>
      <c r="C11" s="114" t="s">
        <v>122</v>
      </c>
      <c r="D11" s="114" t="s">
        <v>123</v>
      </c>
      <c r="E11" s="114" t="s">
        <v>81</v>
      </c>
      <c r="F11" s="115" t="s">
        <v>122</v>
      </c>
      <c r="G11" s="114" t="s">
        <v>124</v>
      </c>
      <c r="H11" s="114" t="s">
        <v>83</v>
      </c>
    </row>
    <row r="12" spans="1:8" x14ac:dyDescent="0.25">
      <c r="A12" s="113">
        <v>11</v>
      </c>
      <c r="B12" s="114" t="s">
        <v>121</v>
      </c>
      <c r="C12" s="114" t="s">
        <v>125</v>
      </c>
      <c r="D12" s="114" t="s">
        <v>126</v>
      </c>
      <c r="E12" s="114" t="s">
        <v>81</v>
      </c>
      <c r="F12" s="115" t="s">
        <v>125</v>
      </c>
      <c r="G12" s="114" t="s">
        <v>127</v>
      </c>
      <c r="H12" s="114" t="s">
        <v>128</v>
      </c>
    </row>
    <row r="13" spans="1:8" x14ac:dyDescent="0.25">
      <c r="A13" s="113">
        <v>12</v>
      </c>
      <c r="B13" s="114" t="s">
        <v>121</v>
      </c>
      <c r="C13" s="114" t="s">
        <v>129</v>
      </c>
      <c r="D13" s="114" t="s">
        <v>130</v>
      </c>
      <c r="E13" s="114" t="s">
        <v>81</v>
      </c>
      <c r="F13" s="115" t="s">
        <v>129</v>
      </c>
      <c r="G13" s="114" t="s">
        <v>131</v>
      </c>
      <c r="H13" s="114" t="s">
        <v>132</v>
      </c>
    </row>
    <row r="14" spans="1:8" x14ac:dyDescent="0.25">
      <c r="A14" s="113">
        <v>13</v>
      </c>
      <c r="B14" s="114" t="s">
        <v>121</v>
      </c>
      <c r="C14" s="114" t="s">
        <v>133</v>
      </c>
      <c r="D14" s="114" t="s">
        <v>134</v>
      </c>
      <c r="E14" s="114" t="s">
        <v>81</v>
      </c>
      <c r="F14" s="115" t="s">
        <v>135</v>
      </c>
      <c r="G14" s="114" t="s">
        <v>136</v>
      </c>
      <c r="H14" s="114" t="s">
        <v>137</v>
      </c>
    </row>
    <row r="15" spans="1:8" x14ac:dyDescent="0.25">
      <c r="A15" s="113">
        <v>14</v>
      </c>
      <c r="B15" s="114" t="s">
        <v>121</v>
      </c>
      <c r="C15" s="114" t="s">
        <v>138</v>
      </c>
      <c r="D15" s="114" t="s">
        <v>139</v>
      </c>
      <c r="E15" s="114" t="s">
        <v>81</v>
      </c>
      <c r="F15" s="115" t="s">
        <v>140</v>
      </c>
      <c r="G15" s="114" t="s">
        <v>141</v>
      </c>
      <c r="H15" s="114" t="s">
        <v>142</v>
      </c>
    </row>
    <row r="16" spans="1:8" x14ac:dyDescent="0.25">
      <c r="A16" s="113">
        <v>15</v>
      </c>
      <c r="B16" s="114" t="s">
        <v>121</v>
      </c>
      <c r="C16" s="114" t="s">
        <v>143</v>
      </c>
      <c r="D16" s="114" t="s">
        <v>144</v>
      </c>
      <c r="E16" s="114" t="s">
        <v>81</v>
      </c>
      <c r="F16" s="115" t="s">
        <v>143</v>
      </c>
      <c r="G16" s="114" t="s">
        <v>145</v>
      </c>
      <c r="H16" s="114" t="s">
        <v>146</v>
      </c>
    </row>
    <row r="17" spans="1:8" x14ac:dyDescent="0.25">
      <c r="A17" s="113">
        <v>16</v>
      </c>
      <c r="B17" s="114" t="s">
        <v>121</v>
      </c>
      <c r="C17" s="114" t="s">
        <v>147</v>
      </c>
      <c r="D17" s="114" t="s">
        <v>148</v>
      </c>
      <c r="E17" s="114" t="s">
        <v>81</v>
      </c>
      <c r="F17" s="115" t="s">
        <v>147</v>
      </c>
      <c r="G17" s="114" t="s">
        <v>149</v>
      </c>
      <c r="H17" s="114" t="s">
        <v>150</v>
      </c>
    </row>
    <row r="18" spans="1:8" x14ac:dyDescent="0.25">
      <c r="A18" s="113">
        <v>17</v>
      </c>
      <c r="B18" s="114" t="s">
        <v>151</v>
      </c>
      <c r="C18" s="114" t="s">
        <v>152</v>
      </c>
      <c r="D18" s="114" t="s">
        <v>153</v>
      </c>
      <c r="E18" s="114" t="s">
        <v>81</v>
      </c>
      <c r="F18" s="115" t="s">
        <v>154</v>
      </c>
      <c r="G18" s="114" t="s">
        <v>155</v>
      </c>
      <c r="H18" s="114" t="s">
        <v>83</v>
      </c>
    </row>
    <row r="19" spans="1:8" x14ac:dyDescent="0.25">
      <c r="A19" s="113">
        <v>18</v>
      </c>
      <c r="B19" s="114" t="s">
        <v>151</v>
      </c>
      <c r="C19" s="114" t="s">
        <v>156</v>
      </c>
      <c r="D19" s="114" t="s">
        <v>157</v>
      </c>
      <c r="E19" s="114" t="s">
        <v>81</v>
      </c>
      <c r="F19" s="115" t="s">
        <v>158</v>
      </c>
      <c r="G19" s="114" t="s">
        <v>159</v>
      </c>
      <c r="H19" s="114" t="s">
        <v>160</v>
      </c>
    </row>
    <row r="20" spans="1:8" x14ac:dyDescent="0.25">
      <c r="A20" s="113">
        <v>19</v>
      </c>
      <c r="B20" s="114" t="s">
        <v>151</v>
      </c>
      <c r="C20" s="114" t="s">
        <v>161</v>
      </c>
      <c r="D20" s="114" t="s">
        <v>162</v>
      </c>
      <c r="E20" s="114" t="s">
        <v>81</v>
      </c>
      <c r="F20" s="115" t="s">
        <v>163</v>
      </c>
      <c r="G20" s="114" t="s">
        <v>164</v>
      </c>
      <c r="H20" s="114" t="s">
        <v>165</v>
      </c>
    </row>
    <row r="21" spans="1:8" x14ac:dyDescent="0.25">
      <c r="A21" s="113">
        <v>20</v>
      </c>
      <c r="B21" s="114" t="s">
        <v>151</v>
      </c>
      <c r="C21" s="114" t="s">
        <v>166</v>
      </c>
      <c r="D21" s="114" t="s">
        <v>167</v>
      </c>
      <c r="E21" s="114" t="s">
        <v>81</v>
      </c>
      <c r="F21" s="115" t="s">
        <v>168</v>
      </c>
      <c r="G21" s="114" t="s">
        <v>169</v>
      </c>
      <c r="H21" s="114" t="s">
        <v>83</v>
      </c>
    </row>
    <row r="22" spans="1:8" x14ac:dyDescent="0.25">
      <c r="A22" s="113">
        <v>21</v>
      </c>
      <c r="B22" s="114" t="s">
        <v>151</v>
      </c>
      <c r="C22" s="114" t="s">
        <v>170</v>
      </c>
      <c r="D22" s="114" t="s">
        <v>171</v>
      </c>
      <c r="E22" s="114" t="s">
        <v>81</v>
      </c>
      <c r="F22" s="115" t="s">
        <v>172</v>
      </c>
      <c r="G22" s="114" t="s">
        <v>173</v>
      </c>
      <c r="H22" s="114" t="s">
        <v>106</v>
      </c>
    </row>
    <row r="23" spans="1:8" x14ac:dyDescent="0.25">
      <c r="A23" s="113">
        <v>22</v>
      </c>
      <c r="B23" s="114" t="s">
        <v>151</v>
      </c>
      <c r="C23" s="114" t="s">
        <v>174</v>
      </c>
      <c r="D23" s="114" t="s">
        <v>175</v>
      </c>
      <c r="E23" s="114" t="s">
        <v>81</v>
      </c>
      <c r="F23" s="115" t="s">
        <v>176</v>
      </c>
      <c r="G23" s="114" t="s">
        <v>177</v>
      </c>
      <c r="H23" s="114" t="s">
        <v>178</v>
      </c>
    </row>
    <row r="24" spans="1:8" x14ac:dyDescent="0.25">
      <c r="A24" s="113">
        <v>23</v>
      </c>
      <c r="B24" s="114" t="s">
        <v>151</v>
      </c>
      <c r="C24" s="114" t="s">
        <v>179</v>
      </c>
      <c r="D24" s="114" t="s">
        <v>180</v>
      </c>
      <c r="E24" s="114" t="s">
        <v>81</v>
      </c>
      <c r="F24" s="115" t="s">
        <v>179</v>
      </c>
      <c r="G24" s="114" t="s">
        <v>181</v>
      </c>
      <c r="H24" s="114" t="s">
        <v>182</v>
      </c>
    </row>
    <row r="25" spans="1:8" x14ac:dyDescent="0.25">
      <c r="A25" s="113">
        <v>24</v>
      </c>
      <c r="B25" s="114" t="s">
        <v>183</v>
      </c>
      <c r="C25" s="114" t="s">
        <v>184</v>
      </c>
      <c r="D25" s="114" t="s">
        <v>185</v>
      </c>
      <c r="E25" s="114" t="s">
        <v>81</v>
      </c>
      <c r="F25" s="115" t="s">
        <v>186</v>
      </c>
      <c r="G25" s="114" t="s">
        <v>187</v>
      </c>
      <c r="H25" s="114" t="s">
        <v>83</v>
      </c>
    </row>
    <row r="26" spans="1:8" x14ac:dyDescent="0.25">
      <c r="A26" s="113">
        <v>25</v>
      </c>
      <c r="B26" s="114" t="s">
        <v>183</v>
      </c>
      <c r="C26" s="114" t="s">
        <v>188</v>
      </c>
      <c r="D26" s="114" t="s">
        <v>189</v>
      </c>
      <c r="E26" s="114" t="s">
        <v>81</v>
      </c>
      <c r="F26" s="115" t="s">
        <v>190</v>
      </c>
      <c r="G26" s="114" t="s">
        <v>191</v>
      </c>
      <c r="H26" s="114" t="s">
        <v>106</v>
      </c>
    </row>
    <row r="27" spans="1:8" x14ac:dyDescent="0.25">
      <c r="A27" s="113">
        <v>26</v>
      </c>
      <c r="B27" s="114" t="s">
        <v>183</v>
      </c>
      <c r="C27" s="114" t="s">
        <v>192</v>
      </c>
      <c r="D27" s="114" t="s">
        <v>193</v>
      </c>
      <c r="E27" s="114" t="s">
        <v>81</v>
      </c>
      <c r="F27" s="115" t="s">
        <v>192</v>
      </c>
      <c r="G27" s="114" t="s">
        <v>194</v>
      </c>
      <c r="H27" s="114" t="s">
        <v>195</v>
      </c>
    </row>
    <row r="28" spans="1:8" x14ac:dyDescent="0.25">
      <c r="A28" s="113">
        <v>27</v>
      </c>
      <c r="B28" s="114" t="s">
        <v>183</v>
      </c>
      <c r="C28" s="114" t="s">
        <v>196</v>
      </c>
      <c r="D28" s="114" t="s">
        <v>197</v>
      </c>
      <c r="E28" s="114" t="s">
        <v>81</v>
      </c>
      <c r="F28" s="115" t="s">
        <v>196</v>
      </c>
      <c r="G28" s="114" t="s">
        <v>198</v>
      </c>
      <c r="H28" s="114" t="s">
        <v>199</v>
      </c>
    </row>
    <row r="29" spans="1:8" x14ac:dyDescent="0.25">
      <c r="A29" s="113">
        <v>28</v>
      </c>
      <c r="B29" s="114" t="s">
        <v>200</v>
      </c>
      <c r="C29" s="114" t="s">
        <v>201</v>
      </c>
      <c r="D29" s="114" t="s">
        <v>202</v>
      </c>
      <c r="E29" s="114" t="s">
        <v>81</v>
      </c>
      <c r="F29" s="115" t="s">
        <v>203</v>
      </c>
      <c r="G29" s="114" t="s">
        <v>204</v>
      </c>
      <c r="H29" s="114" t="s">
        <v>83</v>
      </c>
    </row>
    <row r="30" spans="1:8" x14ac:dyDescent="0.25">
      <c r="A30" s="113">
        <v>29</v>
      </c>
      <c r="B30" s="114" t="s">
        <v>200</v>
      </c>
      <c r="C30" s="114" t="s">
        <v>205</v>
      </c>
      <c r="D30" s="114" t="s">
        <v>206</v>
      </c>
      <c r="E30" s="114" t="s">
        <v>81</v>
      </c>
      <c r="F30" s="115" t="s">
        <v>207</v>
      </c>
      <c r="G30" s="114" t="s">
        <v>208</v>
      </c>
      <c r="H30" s="114" t="s">
        <v>106</v>
      </c>
    </row>
    <row r="31" spans="1:8" x14ac:dyDescent="0.25">
      <c r="A31" s="113">
        <v>30</v>
      </c>
      <c r="B31" s="114" t="s">
        <v>200</v>
      </c>
      <c r="C31" s="114" t="s">
        <v>209</v>
      </c>
      <c r="D31" s="114" t="s">
        <v>210</v>
      </c>
      <c r="E31" s="114" t="s">
        <v>81</v>
      </c>
      <c r="F31" s="115" t="s">
        <v>209</v>
      </c>
      <c r="G31" s="114" t="s">
        <v>211</v>
      </c>
      <c r="H31" s="114" t="s">
        <v>212</v>
      </c>
    </row>
    <row r="32" spans="1:8" x14ac:dyDescent="0.25">
      <c r="A32" s="113">
        <v>31</v>
      </c>
      <c r="B32" s="114" t="s">
        <v>200</v>
      </c>
      <c r="C32" s="114" t="s">
        <v>213</v>
      </c>
      <c r="D32" s="114" t="s">
        <v>214</v>
      </c>
      <c r="E32" s="114" t="s">
        <v>81</v>
      </c>
      <c r="F32" s="115" t="s">
        <v>213</v>
      </c>
      <c r="G32" s="114" t="s">
        <v>215</v>
      </c>
      <c r="H32" s="114" t="s">
        <v>216</v>
      </c>
    </row>
    <row r="33" spans="1:8" x14ac:dyDescent="0.25">
      <c r="A33" s="113">
        <v>32</v>
      </c>
      <c r="B33" s="114" t="s">
        <v>217</v>
      </c>
      <c r="C33" s="114" t="s">
        <v>218</v>
      </c>
      <c r="D33" s="114" t="s">
        <v>219</v>
      </c>
      <c r="E33" s="114" t="s">
        <v>81</v>
      </c>
      <c r="F33" s="115" t="s">
        <v>220</v>
      </c>
      <c r="G33" s="114" t="s">
        <v>221</v>
      </c>
      <c r="H33" s="114" t="s">
        <v>142</v>
      </c>
    </row>
    <row r="34" spans="1:8" x14ac:dyDescent="0.25">
      <c r="A34" s="113">
        <v>33</v>
      </c>
      <c r="B34" s="114" t="s">
        <v>217</v>
      </c>
      <c r="C34" s="114" t="s">
        <v>222</v>
      </c>
      <c r="D34" s="114" t="s">
        <v>223</v>
      </c>
      <c r="E34" s="114" t="s">
        <v>81</v>
      </c>
      <c r="F34" s="115" t="s">
        <v>224</v>
      </c>
      <c r="G34" s="114" t="s">
        <v>225</v>
      </c>
      <c r="H34" s="114" t="s">
        <v>226</v>
      </c>
    </row>
    <row r="35" spans="1:8" x14ac:dyDescent="0.25">
      <c r="A35" s="113">
        <v>34</v>
      </c>
      <c r="B35" s="114" t="s">
        <v>217</v>
      </c>
      <c r="C35" s="114" t="s">
        <v>227</v>
      </c>
      <c r="D35" s="114" t="s">
        <v>228</v>
      </c>
      <c r="E35" s="114" t="s">
        <v>81</v>
      </c>
      <c r="F35" s="115" t="s">
        <v>229</v>
      </c>
      <c r="G35" s="114" t="s">
        <v>230</v>
      </c>
      <c r="H35" s="114" t="s">
        <v>231</v>
      </c>
    </row>
    <row r="36" spans="1:8" x14ac:dyDescent="0.25">
      <c r="A36" s="113">
        <v>35</v>
      </c>
      <c r="B36" s="114" t="s">
        <v>217</v>
      </c>
      <c r="C36" s="114" t="s">
        <v>232</v>
      </c>
      <c r="D36" s="114" t="s">
        <v>233</v>
      </c>
      <c r="E36" s="114" t="s">
        <v>81</v>
      </c>
      <c r="F36" s="115" t="s">
        <v>234</v>
      </c>
      <c r="G36" s="114" t="s">
        <v>235</v>
      </c>
      <c r="H36" s="114" t="s">
        <v>236</v>
      </c>
    </row>
    <row r="37" spans="1:8" x14ac:dyDescent="0.25">
      <c r="A37" s="113">
        <v>36</v>
      </c>
      <c r="B37" s="114" t="s">
        <v>237</v>
      </c>
      <c r="C37" s="114" t="s">
        <v>238</v>
      </c>
      <c r="D37" s="114" t="s">
        <v>239</v>
      </c>
      <c r="E37" s="114" t="s">
        <v>81</v>
      </c>
      <c r="F37" s="115" t="s">
        <v>240</v>
      </c>
      <c r="G37" s="114" t="s">
        <v>241</v>
      </c>
      <c r="H37" s="114" t="s">
        <v>83</v>
      </c>
    </row>
    <row r="38" spans="1:8" x14ac:dyDescent="0.25">
      <c r="A38" s="113">
        <v>37</v>
      </c>
      <c r="B38" s="114" t="s">
        <v>237</v>
      </c>
      <c r="C38" s="114" t="s">
        <v>242</v>
      </c>
      <c r="D38" s="114" t="s">
        <v>243</v>
      </c>
      <c r="E38" s="114" t="s">
        <v>81</v>
      </c>
      <c r="F38" s="115" t="s">
        <v>244</v>
      </c>
      <c r="G38" s="114" t="s">
        <v>245</v>
      </c>
      <c r="H38" s="114" t="s">
        <v>246</v>
      </c>
    </row>
    <row r="39" spans="1:8" x14ac:dyDescent="0.25">
      <c r="A39" s="113">
        <v>38</v>
      </c>
      <c r="B39" s="114" t="s">
        <v>247</v>
      </c>
      <c r="C39" s="114" t="s">
        <v>248</v>
      </c>
      <c r="D39" s="114" t="s">
        <v>249</v>
      </c>
      <c r="E39" s="114" t="s">
        <v>81</v>
      </c>
      <c r="F39" s="115" t="s">
        <v>250</v>
      </c>
      <c r="G39" s="114" t="s">
        <v>251</v>
      </c>
      <c r="H39" s="114" t="s">
        <v>252</v>
      </c>
    </row>
    <row r="40" spans="1:8" x14ac:dyDescent="0.25">
      <c r="A40" s="113">
        <v>39</v>
      </c>
      <c r="B40" s="114" t="s">
        <v>247</v>
      </c>
      <c r="C40" s="114" t="s">
        <v>253</v>
      </c>
      <c r="D40" s="114" t="s">
        <v>254</v>
      </c>
      <c r="E40" s="114" t="s">
        <v>81</v>
      </c>
      <c r="F40" s="115" t="s">
        <v>255</v>
      </c>
      <c r="G40" s="114" t="s">
        <v>256</v>
      </c>
      <c r="H40" s="114" t="s">
        <v>252</v>
      </c>
    </row>
    <row r="41" spans="1:8" x14ac:dyDescent="0.25">
      <c r="A41" s="113">
        <v>40</v>
      </c>
      <c r="B41" s="114" t="s">
        <v>247</v>
      </c>
      <c r="C41" s="114" t="s">
        <v>257</v>
      </c>
      <c r="D41" s="114" t="s">
        <v>258</v>
      </c>
      <c r="E41" s="114" t="s">
        <v>81</v>
      </c>
      <c r="F41" s="115" t="s">
        <v>259</v>
      </c>
      <c r="G41" s="114" t="s">
        <v>260</v>
      </c>
      <c r="H41" s="114" t="s">
        <v>261</v>
      </c>
    </row>
    <row r="42" spans="1:8" x14ac:dyDescent="0.25">
      <c r="A42" s="113">
        <v>41</v>
      </c>
      <c r="B42" s="114" t="s">
        <v>262</v>
      </c>
      <c r="C42" s="114" t="s">
        <v>263</v>
      </c>
      <c r="D42" s="114" t="s">
        <v>264</v>
      </c>
      <c r="E42" s="114" t="s">
        <v>81</v>
      </c>
      <c r="F42" s="115" t="s">
        <v>265</v>
      </c>
      <c r="G42" s="114" t="s">
        <v>266</v>
      </c>
      <c r="H42" s="114" t="s">
        <v>267</v>
      </c>
    </row>
    <row r="43" spans="1:8" x14ac:dyDescent="0.25">
      <c r="A43" s="113">
        <v>42</v>
      </c>
      <c r="B43" s="114" t="s">
        <v>268</v>
      </c>
      <c r="C43" s="114" t="s">
        <v>269</v>
      </c>
      <c r="D43" s="114" t="s">
        <v>270</v>
      </c>
      <c r="E43" s="114" t="s">
        <v>81</v>
      </c>
      <c r="F43" s="115" t="s">
        <v>271</v>
      </c>
      <c r="G43" s="114" t="s">
        <v>272</v>
      </c>
      <c r="H43" s="114" t="s">
        <v>273</v>
      </c>
    </row>
    <row r="44" spans="1:8" x14ac:dyDescent="0.25">
      <c r="A44" s="113">
        <v>43</v>
      </c>
      <c r="B44" s="114" t="s">
        <v>268</v>
      </c>
      <c r="C44" s="114" t="s">
        <v>274</v>
      </c>
      <c r="D44" s="114" t="s">
        <v>275</v>
      </c>
      <c r="E44" s="114" t="s">
        <v>81</v>
      </c>
      <c r="F44" s="115" t="s">
        <v>274</v>
      </c>
      <c r="G44" s="114" t="s">
        <v>276</v>
      </c>
      <c r="H44" s="114" t="s">
        <v>277</v>
      </c>
    </row>
    <row r="45" spans="1:8" x14ac:dyDescent="0.25">
      <c r="A45" s="113">
        <v>44</v>
      </c>
      <c r="B45" s="114" t="s">
        <v>262</v>
      </c>
      <c r="C45" s="114" t="s">
        <v>278</v>
      </c>
      <c r="D45" s="114" t="s">
        <v>279</v>
      </c>
      <c r="E45" s="114" t="s">
        <v>81</v>
      </c>
      <c r="F45" s="115" t="s">
        <v>280</v>
      </c>
      <c r="G45" s="114" t="s">
        <v>281</v>
      </c>
      <c r="H45" s="114" t="s">
        <v>83</v>
      </c>
    </row>
    <row r="46" spans="1:8" x14ac:dyDescent="0.25">
      <c r="A46" s="113">
        <v>45</v>
      </c>
      <c r="B46" s="114" t="s">
        <v>262</v>
      </c>
      <c r="C46" s="114" t="s">
        <v>282</v>
      </c>
      <c r="D46" s="114" t="s">
        <v>283</v>
      </c>
      <c r="E46" s="114" t="s">
        <v>81</v>
      </c>
      <c r="F46" s="115" t="s">
        <v>284</v>
      </c>
      <c r="G46" s="114" t="s">
        <v>285</v>
      </c>
      <c r="H46" s="114" t="s">
        <v>286</v>
      </c>
    </row>
    <row r="47" spans="1:8" x14ac:dyDescent="0.25">
      <c r="A47" s="113">
        <v>46</v>
      </c>
      <c r="B47" s="114" t="s">
        <v>262</v>
      </c>
      <c r="C47" s="114" t="s">
        <v>287</v>
      </c>
      <c r="D47" s="114" t="s">
        <v>288</v>
      </c>
      <c r="E47" s="114" t="s">
        <v>81</v>
      </c>
      <c r="F47" s="115" t="s">
        <v>289</v>
      </c>
      <c r="G47" s="114" t="s">
        <v>290</v>
      </c>
      <c r="H47" s="114" t="s">
        <v>291</v>
      </c>
    </row>
    <row r="48" spans="1:8" x14ac:dyDescent="0.25">
      <c r="A48" s="113">
        <v>47</v>
      </c>
      <c r="B48" s="114" t="s">
        <v>262</v>
      </c>
      <c r="C48" s="114" t="s">
        <v>292</v>
      </c>
      <c r="D48" s="114" t="s">
        <v>293</v>
      </c>
      <c r="E48" s="114" t="s">
        <v>81</v>
      </c>
      <c r="F48" s="115" t="s">
        <v>294</v>
      </c>
      <c r="G48" s="114" t="s">
        <v>295</v>
      </c>
      <c r="H48" s="114" t="s">
        <v>296</v>
      </c>
    </row>
  </sheetData>
  <hyperlinks>
    <hyperlink ref="F2" r:id="rId1" location="#'View Fee Types List'!A1"/>
    <hyperlink ref="F3" r:id="rId2" location="#'Add New Fee Type'!A1"/>
    <hyperlink ref="F4" r:id="rId3" location="#'Update Fee Type'!A1"/>
    <hyperlink ref="F5" r:id="rId4" location="#'Delete Fee Type'!A1"/>
    <hyperlink ref="F6" r:id="rId5" location="#'View Utility Rates'!A1"/>
    <hyperlink ref="F7" r:id="rId6" location="#'Setup Utility Tiers'!A1"/>
    <hyperlink ref="F8" r:id="rId7" location="#'Delete Utility Tier'!A1"/>
    <hyperlink ref="F9" r:id="rId8" location="#'View Fee Config'!A1"/>
    <hyperlink ref="F10" r:id="rId9" location="#'Set Config'!A1"/>
    <hyperlink ref="F11" r:id="rId10" location="#'View Invoice List'!A1"/>
    <hyperlink ref="F12" r:id="rId11" location="#'View Invoice Details'!A1"/>
    <hyperlink ref="F13" r:id="rId12" location="#'Refund Invoice'!A1"/>
    <hyperlink ref="F14" r:id="rId13" location="#'Bulk Approve Invoices'!A1"/>
    <hyperlink ref="F15" r:id="rId14" location="#'Create Manual Invoice'!A1"/>
    <hyperlink ref="F16" r:id="rId15" location="#'Adjust Invoice'!A1"/>
    <hyperlink ref="F17" r:id="rId16" location="#'Cancel Invoice'!A1"/>
    <hyperlink ref="F18" r:id="rId17" location="#'View Violations'!A1"/>
    <hyperlink ref="F19" r:id="rId18" location="#'View Violation Details'!A1"/>
    <hyperlink ref="F20" r:id="rId19" location="#'Invoice Violation'!A1"/>
    <hyperlink ref="F21" r:id="rId20" location="#'Violation Types'!A1"/>
    <hyperlink ref="F22" r:id="rId21" location="#'Add Violation Type'!A1"/>
    <hyperlink ref="F23" r:id="rId22" location="#'Update Violation Type'!A1"/>
    <hyperlink ref="F24" r:id="rId23" location="#'Delete Violation Type'!A1"/>
    <hyperlink ref="F25" r:id="rId24" location="#'Repair Prices'!A1"/>
    <hyperlink ref="F26" r:id="rId25" location="#'Add Repair Price'!A1"/>
    <hyperlink ref="F27" r:id="rId26" location="#'Update Repair Price'!A1"/>
    <hyperlink ref="F28" r:id="rId27" location="#'Delete Repair Price'!A1"/>
    <hyperlink ref="F29" r:id="rId28" location="#'View Services'!A1"/>
    <hyperlink ref="F30" r:id="rId29" location="#'Add Service'!A1"/>
    <hyperlink ref="F31" r:id="rId30" location="#'Update Service'!A1"/>
    <hyperlink ref="F32" r:id="rId31" location="#'Delete Service'!A1"/>
    <hyperlink ref="F33" r:id="rId32" location="#'Pending Payments'!A1"/>
    <hyperlink ref="F34" r:id="rId33" location="#'Verify Payment'!A1"/>
    <hyperlink ref="F35" r:id="rId34" location="#'Stall Invoices'!A1"/>
    <hyperlink ref="F36" r:id="rId35" location="#'Transaction Details'!A1"/>
    <hyperlink ref="F37" r:id="rId36" location="#'Overdue Stalls'!A1"/>
    <hyperlink ref="F38" r:id="rId37" location="#'Stall Debts'!A1"/>
    <hyperlink ref="F39" r:id="rId38" location="#'View Profile'!A1"/>
    <hyperlink ref="F40" r:id="rId39" location="#'Edit Profile'!A1"/>
    <hyperlink ref="F41" r:id="rId40" location="#'Change Password'!A1"/>
    <hyperlink ref="F42" r:id="rId41" location="#'Send Debt Noti'!A1"/>
    <hyperlink ref="F43" r:id="rId42" location="#'Revenue Summary'!A1"/>
    <hyperlink ref="F44" r:id="rId43" location="#'Export Report'!A1"/>
    <hyperlink ref="F45" r:id="rId44" location="#'View Notifications'!A1"/>
    <hyperlink ref="F46" r:id="rId45" location="#'Read Notification'!A1"/>
    <hyperlink ref="F47" r:id="rId46" location="#'Mark All Read'!A1"/>
    <hyperlink ref="F48" r:id="rId47" location="#'Delete Notific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 zoomScale="115" zoomScaleNormal="115">
      <pane ySplit="8" topLeftCell="A9" activePane="bottomLeft" state="frozen"/>
      <selection pane="bottomLeft" activeCell="A15" sqref="A15"/>
    </sheetView>
  </sheetViews>
  <sheetFormatPr defaultRowHeight="12.75" outlineLevelRow="0" outlineLevelCol="0" x14ac:dyDescent="0.15" defaultColWidth="8.99609375" customHeight="1"/>
  <cols>
    <col min="1" max="1" width="20.04296875" style="13" customWidth="1"/>
    <col min="2" max="2" width="19.08984375" style="13" customWidth="1"/>
    <col min="3" max="5" width="25.6328125" style="13" customWidth="1"/>
    <col min="6" max="6" width="28.49609375" style="13" customWidth="1"/>
    <col min="7" max="7" width="11.1796875" style="13" customWidth="1"/>
    <col min="8" max="8" width="10.6328125" style="13" customWidth="1"/>
    <col min="9" max="9" width="8.99609375" style="13" customWidth="1"/>
    <col min="10" max="10" width="23.04296875" style="13" customWidth="1"/>
    <col min="11" max="11" width="37.2265625" style="13" customWidth="1"/>
    <col min="12" max="12" width="8.1796875" style="39" customWidth="1"/>
    <col min="13" max="13" width="9.81640625" style="13" hidden="1" customWidth="1"/>
    <col min="14" max="16384" width="8.99609375" style="13" customWidth="1"/>
  </cols>
  <sheetData>
    <row r="1" ht="13.5" customHeight="1" x14ac:dyDescent="0.25"/>
    <row r="2" ht="15" customHeight="1" spans="1:13" s="40" customFormat="1" x14ac:dyDescent="0.25">
      <c r="A2" s="41" t="s">
        <v>18</v>
      </c>
      <c r="B2" s="42" t="s">
        <v>19</v>
      </c>
      <c r="C2" s="43"/>
      <c r="D2" s="43"/>
      <c r="E2" s="43"/>
      <c r="F2" s="44"/>
      <c r="G2" s="45"/>
      <c r="H2" s="46"/>
      <c r="I2" s="47"/>
      <c r="J2" s="47"/>
      <c r="K2" s="47"/>
      <c r="L2" s="48"/>
      <c r="M2" s="40" t="s">
        <v>20</v>
      </c>
    </row>
    <row r="3" spans="1:13" s="40" customFormat="1" x14ac:dyDescent="0.25">
      <c r="A3" s="49" t="s">
        <v>21</v>
      </c>
      <c r="B3" s="50" t="s">
        <v>22</v>
      </c>
      <c r="C3" s="51"/>
      <c r="D3" s="51"/>
      <c r="E3" s="51"/>
      <c r="F3" s="52"/>
      <c r="G3" s="45"/>
      <c r="H3" s="46"/>
      <c r="I3" s="47"/>
      <c r="J3" s="47"/>
      <c r="K3" s="47"/>
      <c r="L3" s="48"/>
      <c r="M3" s="40" t="s">
        <v>23</v>
      </c>
    </row>
    <row r="4" ht="18" customHeight="1" spans="1:13" s="40" customFormat="1" x14ac:dyDescent="0.25">
      <c r="A4" s="49" t="s">
        <v>24</v>
      </c>
      <c r="B4" s="50"/>
      <c r="C4" s="51"/>
      <c r="D4" s="51"/>
      <c r="E4" s="51"/>
      <c r="F4" s="52"/>
      <c r="G4" s="45"/>
      <c r="H4" s="46"/>
      <c r="I4" s="47"/>
      <c r="J4" s="47"/>
      <c r="K4" s="47"/>
      <c r="L4" s="48"/>
      <c r="M4" s="40" t="s">
        <v>25</v>
      </c>
    </row>
    <row r="5" ht="19.5" customHeight="1" spans="1:13" s="40" customFormat="1" x14ac:dyDescent="0.25">
      <c r="A5" s="53" t="s">
        <v>20</v>
      </c>
      <c r="B5" s="54" t="s">
        <v>23</v>
      </c>
      <c r="C5" s="54" t="s">
        <v>26</v>
      </c>
      <c r="D5" s="54" t="s">
        <v>27</v>
      </c>
      <c r="E5" s="55"/>
      <c r="F5" s="56" t="s">
        <v>28</v>
      </c>
      <c r="G5" s="57"/>
      <c r="H5" s="57"/>
      <c r="I5" s="58"/>
      <c r="J5" s="58"/>
      <c r="K5" s="58"/>
      <c r="L5" s="59"/>
      <c r="M5" s="40" t="s">
        <v>27</v>
      </c>
    </row>
    <row r="6" ht="15" customHeight="1" spans="1:12" s="40" customFormat="1" x14ac:dyDescent="0.25">
      <c r="A6" s="60">
        <f>COUNTIF(H10:H998,"Pass")</f>
        <v>0</v>
      </c>
      <c r="B6" s="61">
        <f>COUNTIF(H10:H998,"Fail")</f>
        <v>0</v>
      </c>
      <c r="C6" s="61">
        <f>F6-D6-B6-A6</f>
        <v>8</v>
      </c>
      <c r="D6" s="61">
        <f>COUNTIF(H10:H998,"N/A")</f>
        <v>0</v>
      </c>
      <c r="E6" s="62"/>
      <c r="F6" s="63">
        <f>COUNTA(A10:A998)</f>
        <v>8</v>
      </c>
      <c r="G6" s="64"/>
      <c r="H6" s="64"/>
      <c r="I6" s="58"/>
      <c r="J6" s="58"/>
      <c r="K6" s="58"/>
      <c r="L6" s="59"/>
    </row>
    <row r="7" ht="15" customHeight="1" spans="1:12" s="40" customFormat="1" x14ac:dyDescent="0.25">
      <c r="A7" s="58"/>
      <c r="B7" s="58"/>
      <c r="C7" s="58"/>
      <c r="D7" s="58"/>
      <c r="E7" s="58"/>
      <c r="F7" s="58"/>
      <c r="G7" s="65"/>
      <c r="H7" s="58"/>
      <c r="I7" s="58"/>
      <c r="J7" s="58"/>
      <c r="K7" s="58"/>
      <c r="L7" s="59"/>
    </row>
    <row r="8" ht="25.5" customHeight="1" spans="1:12" s="40" customFormat="1" x14ac:dyDescent="0.25">
      <c r="A8" s="66" t="s">
        <v>29</v>
      </c>
      <c r="B8" s="66" t="s">
        <v>30</v>
      </c>
      <c r="C8" s="66" t="s">
        <v>31</v>
      </c>
      <c r="D8" s="66" t="s">
        <v>32</v>
      </c>
      <c r="E8" s="66" t="s">
        <v>33</v>
      </c>
      <c r="F8" s="66" t="s">
        <v>34</v>
      </c>
      <c r="G8" s="66" t="s">
        <v>35</v>
      </c>
      <c r="H8" s="66" t="s">
        <v>36</v>
      </c>
      <c r="I8" s="66" t="s">
        <v>37</v>
      </c>
      <c r="J8" s="66" t="s">
        <v>38</v>
      </c>
      <c r="L8" s="67"/>
    </row>
    <row r="9" ht="15.75" customHeight="1" spans="1:12" s="40" customFormat="1" x14ac:dyDescent="0.25">
      <c r="A9" s="68" t="s">
        <v>39</v>
      </c>
      <c r="B9" s="68"/>
      <c r="C9" s="69"/>
      <c r="D9" s="69"/>
      <c r="E9" s="69"/>
      <c r="F9" s="69"/>
      <c r="G9" s="69"/>
      <c r="H9" s="69"/>
      <c r="I9" s="69"/>
      <c r="J9" s="70"/>
      <c r="L9" s="71"/>
    </row>
    <row r="10" ht="120.95" customHeight="1" spans="1:12" s="72" customFormat="1" x14ac:dyDescent="0.25">
      <c r="A10" s="73" t="s">
        <v>40</v>
      </c>
      <c r="B10" s="74" t="s">
        <v>41</v>
      </c>
      <c r="C10" s="74" t="s">
        <v>42</v>
      </c>
      <c r="D10" s="75" t="s">
        <v>43</v>
      </c>
      <c r="E10" s="75" t="s">
        <v>43</v>
      </c>
      <c r="F10" s="75" t="s">
        <v>44</v>
      </c>
      <c r="G10" s="73" t="s">
        <v>20</v>
      </c>
      <c r="H10" s="73"/>
      <c r="I10" s="73"/>
      <c r="J10" s="73"/>
      <c r="L10" s="76"/>
    </row>
    <row r="11" spans="1:12" x14ac:dyDescent="0.25">
      <c r="A11" s="73" t="s">
        <v>45</v>
      </c>
      <c r="B11" s="73" t="s">
        <v>46</v>
      </c>
      <c r="C11" s="73"/>
      <c r="D11" s="77"/>
      <c r="E11" s="77"/>
      <c r="F11" s="77"/>
      <c r="G11" s="73"/>
      <c r="H11" s="73"/>
      <c r="I11" s="73"/>
      <c r="J11" s="73"/>
      <c r="L11" s="76"/>
    </row>
    <row r="12" spans="1:12" x14ac:dyDescent="0.25">
      <c r="A12" s="73" t="s">
        <v>47</v>
      </c>
      <c r="B12" s="73" t="s">
        <v>48</v>
      </c>
      <c r="C12" s="73"/>
      <c r="D12" s="77"/>
      <c r="E12" s="77"/>
      <c r="F12" s="77"/>
      <c r="G12" s="73"/>
      <c r="H12" s="73"/>
      <c r="I12" s="73"/>
      <c r="J12" s="73"/>
      <c r="L12" s="76"/>
    </row>
    <row r="13" ht="15.75" customHeight="1" spans="1:12" s="40" customFormat="1" x14ac:dyDescent="0.25">
      <c r="A13" s="68" t="s">
        <v>49</v>
      </c>
      <c r="B13" s="78"/>
      <c r="C13" s="79"/>
      <c r="D13" s="79"/>
      <c r="E13" s="79"/>
      <c r="F13" s="79"/>
      <c r="G13" s="79"/>
      <c r="H13" s="79"/>
      <c r="I13" s="79"/>
      <c r="J13" s="80"/>
      <c r="L13" s="71"/>
    </row>
    <row r="14" spans="1:12" x14ac:dyDescent="0.25">
      <c r="A14" s="73" t="str">
        <f>IF(OR(B14&lt;&gt;"",D14&lt;&gt;""),"["&amp;TEXT($B$2,"##")&amp;"-"&amp;TEXT(ROW()-11,"##")&amp;"]","")</f>
        <v>[&lt;Feature Name1&gt;-3]</v>
      </c>
      <c r="B14" s="73" t="s">
        <v>50</v>
      </c>
      <c r="C14" s="73"/>
      <c r="D14" s="73"/>
      <c r="E14" s="73"/>
      <c r="F14" s="73"/>
      <c r="G14" s="73"/>
      <c r="H14" s="73"/>
      <c r="I14" s="73"/>
      <c r="J14" s="73"/>
      <c r="L14" s="76"/>
    </row>
    <row r="15" spans="1:10" x14ac:dyDescent="0.25">
      <c r="A15" s="73" t="str">
        <f>IF(OR(B15&lt;&gt;"",D15&lt;&gt;""),"["&amp;TEXT($B$2,"##")&amp;"-"&amp;TEXT(ROW()-11,"##")&amp;"]","")</f>
        <v>[&lt;Feature Name1&gt;-4]</v>
      </c>
      <c r="B15" s="73" t="s">
        <v>51</v>
      </c>
      <c r="C15" s="73"/>
      <c r="D15" s="73"/>
      <c r="E15" s="73"/>
      <c r="F15" s="73"/>
      <c r="G15" s="73"/>
      <c r="H15" s="81"/>
      <c r="I15" s="81"/>
      <c r="J15" s="81"/>
    </row>
    <row r="16" ht="15.75" customHeight="1" spans="1:12" s="40" customFormat="1" x14ac:dyDescent="0.25">
      <c r="A16" s="68" t="s">
        <v>52</v>
      </c>
      <c r="B16" s="78"/>
      <c r="C16" s="79"/>
      <c r="D16" s="79"/>
      <c r="E16" s="79"/>
      <c r="F16" s="79"/>
      <c r="G16" s="79"/>
      <c r="H16" s="79"/>
      <c r="I16" s="79"/>
      <c r="J16" s="80"/>
      <c r="L16" s="71"/>
    </row>
    <row r="17" spans="1:12" x14ac:dyDescent="0.25">
      <c r="A17" s="73" t="str">
        <f>IF(OR(B17&lt;&gt;"",D17&lt;&gt;""),"["&amp;TEXT($B$2,"##")&amp;"-"&amp;TEXT(ROW()-12,"##")&amp;"]","")</f>
        <v>[&lt;Feature Name1&gt;-5]</v>
      </c>
      <c r="B17" s="73" t="s">
        <v>53</v>
      </c>
      <c r="C17" s="73"/>
      <c r="D17" s="73"/>
      <c r="E17" s="73"/>
      <c r="F17" s="73"/>
      <c r="G17" s="73"/>
      <c r="H17" s="73"/>
      <c r="I17" s="73"/>
      <c r="J17" s="73"/>
      <c r="L17" s="76"/>
    </row>
  </sheetData>
  <mergeCells count="3">
    <mergeCell ref="B2:F2"/>
    <mergeCell ref="B3:F3"/>
    <mergeCell ref="B4:F4"/>
  </mergeCells>
  <dataValidations count="6">
    <dataValidation type="list" allowBlank="1" showErrorMessage="1" sqref="G10:G17">
      <formula1>$M$2:$M$5</formula1>
      <formula2>0</formula2>
    </dataValidation>
    <dataValidation type="list" allowBlank="1" showErrorMessage="1" sqref="G8:G17">
      <formula1>$M$2:$M$5</formula1>
      <formula2>0</formula2>
    </dataValidation>
    <dataValidation type="list" allowBlank="1" showErrorMessage="1" sqref="H100:H145">
      <formula1>$M$2:$M$5</formula1>
      <formula2>0</formula2>
    </dataValidation>
    <dataValidation type="list" allowBlank="1" showErrorMessage="1" sqref="H18:H145">
      <formula1>$M$2:$M$5</formula1>
      <formula2>0</formula2>
    </dataValidation>
    <dataValidation type="list" allowBlank="1" showErrorMessage="1" sqref="H2:H3">
      <formula1>$M$2:$M$5</formula1>
      <formula2>0</formula2>
    </dataValidation>
    <dataValidation type="list" allowBlank="1" showErrorMessage="1" sqref="H7">
      <formula1>$M$2:$M$5</formula1>
      <formula2>0</formula2>
    </dataValidation>
  </dataValidations>
  <pageMargins left="0.7479166666666667" right="0.25" top="0.75" bottom="0.9840277777777777" header="0.5" footer="0.5"/>
  <pageSetup paperSize="9" orientation="landscape" horizontalDpi="300" verticalDpi="300" scale="100" fitToWidth="1" fitToHeight="1" firstPageNumber="0" copies="1"/>
  <headerFooter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zoomScale="100" zoomScaleNormal="100">
      <selection activeCell="G23" sqref="G23"/>
    </sheetView>
  </sheetViews>
  <sheetFormatPr defaultRowHeight="12.75" outlineLevelRow="0" outlineLevelCol="0" x14ac:dyDescent="0.15" defaultColWidth="8.99609375" customHeight="1"/>
  <cols>
    <col min="1" max="1" width="4.49609375" style="13" customWidth="1"/>
    <col min="2" max="2" width="13.36328125" style="13" customWidth="1"/>
    <col min="3" max="3" width="19.2265625" style="13" customWidth="1"/>
    <col min="4" max="6" width="11.58984375" style="13" customWidth="1"/>
    <col min="7" max="7" width="8.99609375" style="13" customWidth="1"/>
    <col min="8" max="8" width="35.453125" style="13" customWidth="1"/>
    <col min="9" max="9" width="33.1328125" style="13" customWidth="1"/>
    <col min="10" max="16384" width="8.99609375" style="13" customWidth="1"/>
  </cols>
  <sheetData>
    <row r="1" ht="25.5" customHeight="1" spans="2:8" x14ac:dyDescent="0.25">
      <c r="B1" s="82" t="s">
        <v>60</v>
      </c>
      <c r="C1" s="82"/>
      <c r="D1" s="82"/>
      <c r="E1" s="82"/>
      <c r="F1" s="82"/>
      <c r="G1" s="82"/>
      <c r="H1" s="82"/>
    </row>
    <row r="2" ht="14.25" customHeight="1" spans="1:8" x14ac:dyDescent="0.25">
      <c r="A2" s="83"/>
      <c r="B2" s="83"/>
      <c r="C2" s="13"/>
      <c r="D2" s="13"/>
      <c r="E2" s="13"/>
      <c r="F2" s="13"/>
      <c r="G2" s="13"/>
      <c r="H2" s="84"/>
    </row>
    <row r="3" ht="12" customHeight="1" spans="2:8" x14ac:dyDescent="0.25">
      <c r="B3" s="17" t="s">
        <v>1</v>
      </c>
      <c r="C3" s="85" t="s">
        <v>2</v>
      </c>
      <c r="D3" s="85"/>
      <c r="E3" s="14" t="s">
        <v>3</v>
      </c>
      <c r="F3" s="14"/>
      <c r="G3" s="86"/>
      <c r="H3" s="87"/>
    </row>
    <row r="4" ht="12" customHeight="1" spans="2:8" x14ac:dyDescent="0.25">
      <c r="B4" s="17" t="s">
        <v>4</v>
      </c>
      <c r="C4" s="85" t="s">
        <v>5</v>
      </c>
      <c r="D4" s="85"/>
      <c r="E4" s="14" t="s">
        <v>6</v>
      </c>
      <c r="F4" s="14"/>
      <c r="G4" s="86"/>
      <c r="H4" s="87"/>
    </row>
    <row r="5" ht="12" customHeight="1" spans="2:8" x14ac:dyDescent="0.25">
      <c r="B5" s="88" t="s">
        <v>7</v>
      </c>
      <c r="C5" s="85" t="str">
        <f>C4&amp;"_"&amp;"Test Report"&amp;"_"&amp;"vx.x"</f>
        <v>&lt;Project Code&gt;_Test Report_vx.x</v>
      </c>
      <c r="D5" s="85"/>
      <c r="E5" s="14" t="s">
        <v>8</v>
      </c>
      <c r="F5" s="14"/>
      <c r="G5" s="86"/>
      <c r="H5" s="89" t="s">
        <v>61</v>
      </c>
    </row>
    <row r="6" ht="21.75" customHeight="1" spans="1:8" x14ac:dyDescent="0.25">
      <c r="A6" s="83"/>
      <c r="B6" s="88" t="s">
        <v>62</v>
      </c>
      <c r="C6" s="90" t="s">
        <v>63</v>
      </c>
      <c r="D6" s="90"/>
      <c r="E6" s="90"/>
      <c r="F6" s="90"/>
      <c r="G6" s="90"/>
      <c r="H6" s="90"/>
    </row>
    <row r="7" ht="14.25" customHeight="1" spans="1:8" x14ac:dyDescent="0.25">
      <c r="A7" s="83"/>
      <c r="B7" s="20"/>
      <c r="C7" s="91"/>
      <c r="D7" s="13"/>
      <c r="E7" s="13"/>
      <c r="F7" s="13"/>
      <c r="G7" s="13"/>
      <c r="H7" s="84"/>
    </row>
    <row r="8" spans="2:8" x14ac:dyDescent="0.25">
      <c r="B8" s="20"/>
      <c r="C8" s="91"/>
      <c r="D8" s="13"/>
      <c r="E8" s="13"/>
      <c r="F8" s="13"/>
      <c r="G8" s="13"/>
      <c r="H8" s="84"/>
    </row>
    <row r="10" spans="1:8" x14ac:dyDescent="0.25">
      <c r="A10" s="92"/>
      <c r="B10" s="93" t="s">
        <v>64</v>
      </c>
      <c r="C10" s="94" t="s">
        <v>65</v>
      </c>
      <c r="D10" s="95" t="s">
        <v>20</v>
      </c>
      <c r="E10" s="94" t="s">
        <v>23</v>
      </c>
      <c r="F10" s="94" t="s">
        <v>26</v>
      </c>
      <c r="G10" s="96" t="s">
        <v>27</v>
      </c>
      <c r="H10" s="97" t="s">
        <v>66</v>
      </c>
    </row>
    <row r="11" spans="1:8" x14ac:dyDescent="0.25">
      <c r="A11" s="92"/>
      <c r="B11" s="98">
        <v>1</v>
      </c>
      <c r="C11" s="99" t="str">
        <f>Feature1!B2</f>
        <v>&lt;Feature Name1&gt;</v>
      </c>
      <c r="D11" s="100">
        <f>Feature1!A6</f>
        <v>0</v>
      </c>
      <c r="E11" s="100">
        <f>Feature1!B6</f>
        <v>0</v>
      </c>
      <c r="F11" s="100">
        <f>Feature1!C6</f>
        <v>8</v>
      </c>
      <c r="G11" s="101">
        <f>Feature1!D6</f>
        <v>0</v>
      </c>
      <c r="H11" s="102">
        <f>Feature1!F6</f>
        <v>8</v>
      </c>
    </row>
    <row r="12" spans="1:8" x14ac:dyDescent="0.25">
      <c r="A12" s="92"/>
      <c r="B12" s="98">
        <v>2</v>
      </c>
      <c r="C12" s="99" t="str">
        <f>Feature2!B2</f>
        <v>&lt;Feature Name2&gt;</v>
      </c>
      <c r="D12" s="100">
        <f>Feature2!A6</f>
        <v>0</v>
      </c>
      <c r="E12" s="100">
        <f>Feature2!B6</f>
        <v>0</v>
      </c>
      <c r="F12" s="100">
        <f>Feature2!C6</f>
        <v>8</v>
      </c>
      <c r="G12" s="100">
        <f>Feature2!D6</f>
        <v>0</v>
      </c>
      <c r="H12" s="100">
        <f>Feature2!E6</f>
        <v>8</v>
      </c>
    </row>
    <row r="13" spans="1:8" x14ac:dyDescent="0.25">
      <c r="A13" s="92"/>
      <c r="B13" s="98"/>
      <c r="C13" s="99"/>
      <c r="D13" s="100"/>
      <c r="E13" s="100"/>
      <c r="F13" s="100"/>
      <c r="G13" s="101"/>
      <c r="H13" s="102"/>
    </row>
    <row r="14" spans="1:8" x14ac:dyDescent="0.25">
      <c r="A14" s="92"/>
      <c r="B14" s="103"/>
      <c r="C14" s="104" t="s">
        <v>67</v>
      </c>
      <c r="D14" s="105">
        <f>SUM(D9:D13)</f>
        <v>0</v>
      </c>
      <c r="E14" s="105">
        <f>SUM(E9:E13)</f>
        <v>0</v>
      </c>
      <c r="F14" s="105">
        <f>SUM(F9:F13)</f>
        <v>16</v>
      </c>
      <c r="G14" s="105">
        <f>SUM(G9:G13)</f>
        <v>0</v>
      </c>
      <c r="H14" s="106">
        <f>SUM(H9:H13)</f>
        <v>16</v>
      </c>
    </row>
    <row r="15" spans="2:8" x14ac:dyDescent="0.25">
      <c r="B15" s="107"/>
      <c r="D15" s="108"/>
      <c r="E15" s="109"/>
      <c r="F15" s="109"/>
      <c r="G15" s="109"/>
      <c r="H15" s="109"/>
    </row>
    <row r="16" spans="3:8" x14ac:dyDescent="0.25">
      <c r="C16" s="110" t="s">
        <v>68</v>
      </c>
      <c r="E16" s="111">
        <f>(D14+E14)*100/(H14-G14)</f>
        <v>0</v>
      </c>
      <c r="F16" s="13" t="s">
        <v>69</v>
      </c>
      <c r="H16" s="65"/>
    </row>
    <row r="17" spans="3:8" x14ac:dyDescent="0.25">
      <c r="C17" s="110" t="s">
        <v>70</v>
      </c>
      <c r="E17" s="111">
        <f>D14*100/(H14-G14)</f>
        <v>0</v>
      </c>
      <c r="F17" s="13" t="s">
        <v>69</v>
      </c>
      <c r="H17" s="65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67" right="0.7479166666666667" top="0.9840277777777778" bottom="0.9840277777777777" header="0.5118055555555556" footer="0.5"/>
  <pageSetup orientation="landscape" horizontalDpi="300" verticalDpi="300" scale="100" fitToWidth="1" fitToHeight="1" firstPageNumber="0" copies="1"/>
  <headerFooter>
    <oddFooter>&amp;L&amp;"Tahoma,Regular"&amp;8 02ae-BM/PM/HDCV/FSOFT v2/0&amp;C&amp;"tahoma,Regular"&amp;8Internal use&amp;R&amp;"Tahoma,Regular"&amp;8&amp;P/&amp;N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 zoomScale="85" zoomScaleNormal="85">
      <pane ySplit="8" topLeftCell="A9" activePane="bottomLeft" state="frozen"/>
      <selection pane="bottomLeft" activeCell="B3" sqref="B3"/>
    </sheetView>
  </sheetViews>
  <sheetFormatPr defaultRowHeight="12.75" outlineLevelRow="0" outlineLevelCol="0" x14ac:dyDescent="0.15" defaultColWidth="8.99609375" customHeight="1"/>
  <cols>
    <col min="1" max="1" width="20.04296875" style="13" customWidth="1"/>
    <col min="2" max="2" width="19.08984375" style="13" customWidth="1"/>
    <col min="3" max="4" width="25.6328125" style="13" customWidth="1"/>
    <col min="5" max="5" width="28.49609375" style="13" customWidth="1"/>
    <col min="6" max="6" width="11.1796875" style="13" customWidth="1"/>
    <col min="7" max="7" width="10.6328125" style="13" customWidth="1"/>
    <col min="8" max="8" width="8.99609375" style="13" customWidth="1"/>
    <col min="9" max="9" width="23.04296875" style="13" customWidth="1"/>
    <col min="10" max="10" width="37.2265625" style="13" customWidth="1"/>
    <col min="11" max="11" width="8.1796875" style="39" customWidth="1"/>
    <col min="12" max="12" width="9.81640625" style="13" hidden="1" customWidth="1"/>
    <col min="13" max="16384" width="8.99609375" style="13" customWidth="1"/>
  </cols>
  <sheetData>
    <row r="1" ht="13.5" customHeight="1" x14ac:dyDescent="0.25"/>
    <row r="2" ht="15" customHeight="1" spans="1:12" s="40" customFormat="1" x14ac:dyDescent="0.25">
      <c r="A2" s="41" t="s">
        <v>18</v>
      </c>
      <c r="B2" s="42" t="s">
        <v>54</v>
      </c>
      <c r="C2" s="43"/>
      <c r="D2" s="43"/>
      <c r="E2" s="44"/>
      <c r="F2" s="45"/>
      <c r="G2" s="46"/>
      <c r="H2" s="47"/>
      <c r="I2" s="47"/>
      <c r="J2" s="47"/>
      <c r="K2" s="48"/>
      <c r="L2" s="40" t="s">
        <v>20</v>
      </c>
    </row>
    <row r="3" spans="1:12" s="40" customFormat="1" x14ac:dyDescent="0.25">
      <c r="A3" s="49" t="s">
        <v>21</v>
      </c>
      <c r="B3" s="50" t="s">
        <v>22</v>
      </c>
      <c r="C3" s="51"/>
      <c r="D3" s="51"/>
      <c r="E3" s="52"/>
      <c r="F3" s="45"/>
      <c r="G3" s="46"/>
      <c r="H3" s="47"/>
      <c r="I3" s="47"/>
      <c r="J3" s="47"/>
      <c r="K3" s="48"/>
      <c r="L3" s="40" t="s">
        <v>23</v>
      </c>
    </row>
    <row r="4" ht="18" customHeight="1" spans="1:12" s="40" customFormat="1" x14ac:dyDescent="0.25">
      <c r="A4" s="49" t="s">
        <v>24</v>
      </c>
      <c r="B4" s="50"/>
      <c r="C4" s="51"/>
      <c r="D4" s="51"/>
      <c r="E4" s="52"/>
      <c r="F4" s="45"/>
      <c r="G4" s="46"/>
      <c r="H4" s="47"/>
      <c r="I4" s="47"/>
      <c r="J4" s="47"/>
      <c r="K4" s="48"/>
      <c r="L4" s="40" t="s">
        <v>25</v>
      </c>
    </row>
    <row r="5" ht="19.5" customHeight="1" spans="1:12" s="40" customFormat="1" x14ac:dyDescent="0.25">
      <c r="A5" s="53" t="s">
        <v>20</v>
      </c>
      <c r="B5" s="54" t="s">
        <v>23</v>
      </c>
      <c r="C5" s="54" t="s">
        <v>26</v>
      </c>
      <c r="D5" s="54" t="s">
        <v>27</v>
      </c>
      <c r="E5" s="56" t="s">
        <v>28</v>
      </c>
      <c r="F5" s="57"/>
      <c r="G5" s="57"/>
      <c r="H5" s="58"/>
      <c r="I5" s="58"/>
      <c r="J5" s="58"/>
      <c r="K5" s="59"/>
      <c r="L5" s="40" t="s">
        <v>27</v>
      </c>
    </row>
    <row r="6" ht="15" customHeight="1" spans="1:11" s="40" customFormat="1" x14ac:dyDescent="0.25">
      <c r="A6" s="60">
        <f>COUNTIF(G10:G998,"Pass")</f>
        <v>0</v>
      </c>
      <c r="B6" s="61">
        <f>COUNTIF(G10:G998,"Fail")</f>
        <v>0</v>
      </c>
      <c r="C6" s="61">
        <f>E6-D6-B6-A6</f>
        <v>8</v>
      </c>
      <c r="D6" s="61">
        <f>COUNTIF(G10:G998,"N/A")</f>
        <v>0</v>
      </c>
      <c r="E6" s="63">
        <f>COUNTA(A10:A998)</f>
        <v>8</v>
      </c>
      <c r="F6" s="64"/>
      <c r="G6" s="64"/>
      <c r="H6" s="58"/>
      <c r="I6" s="58"/>
      <c r="J6" s="58"/>
      <c r="K6" s="59"/>
    </row>
    <row r="7" ht="15" customHeight="1" spans="1:11" s="40" customFormat="1" x14ac:dyDescent="0.25">
      <c r="A7" s="58"/>
      <c r="B7" s="58"/>
      <c r="C7" s="58"/>
      <c r="D7" s="58"/>
      <c r="E7" s="58"/>
      <c r="F7" s="65"/>
      <c r="G7" s="58"/>
      <c r="H7" s="58"/>
      <c r="I7" s="58"/>
      <c r="J7" s="58"/>
      <c r="K7" s="59"/>
    </row>
    <row r="8" ht="25.5" customHeight="1" spans="1:11" s="40" customFormat="1" x14ac:dyDescent="0.25">
      <c r="A8" s="66" t="s">
        <v>29</v>
      </c>
      <c r="B8" s="66" t="s">
        <v>30</v>
      </c>
      <c r="C8" s="66" t="s">
        <v>31</v>
      </c>
      <c r="D8" s="66" t="s">
        <v>32</v>
      </c>
      <c r="E8" s="66" t="s">
        <v>34</v>
      </c>
      <c r="F8" s="66" t="s">
        <v>35</v>
      </c>
      <c r="G8" s="66" t="s">
        <v>36</v>
      </c>
      <c r="H8" s="66" t="s">
        <v>37</v>
      </c>
      <c r="I8" s="66" t="s">
        <v>38</v>
      </c>
      <c r="K8" s="67"/>
    </row>
    <row r="9" ht="15.75" customHeight="1" spans="1:11" s="40" customFormat="1" x14ac:dyDescent="0.25">
      <c r="A9" s="68" t="s">
        <v>55</v>
      </c>
      <c r="B9" s="68"/>
      <c r="C9" s="69"/>
      <c r="D9" s="69"/>
      <c r="E9" s="69"/>
      <c r="F9" s="69"/>
      <c r="G9" s="69"/>
      <c r="H9" s="69"/>
      <c r="I9" s="70"/>
      <c r="K9" s="71"/>
    </row>
    <row r="10" ht="120.95" customHeight="1" spans="1:11" s="72" customFormat="1" x14ac:dyDescent="0.25">
      <c r="A10" s="73" t="str">
        <f>IF(OR(B10&lt;&gt;"",D10&lt;&gt;""),"["&amp;TEXT($B$2,"##")&amp;"-"&amp;TEXT(ROW()-10,"##")&amp;"]","")</f>
        <v>[&lt;Feature Name2&gt;-]</v>
      </c>
      <c r="B10" s="74" t="s">
        <v>56</v>
      </c>
      <c r="C10" s="74" t="s">
        <v>57</v>
      </c>
      <c r="D10" s="75" t="s">
        <v>58</v>
      </c>
      <c r="E10" s="75" t="s">
        <v>59</v>
      </c>
      <c r="F10" s="73" t="s">
        <v>20</v>
      </c>
      <c r="G10" s="73"/>
      <c r="H10" s="73"/>
      <c r="I10" s="73"/>
      <c r="K10" s="76"/>
    </row>
    <row r="11" spans="1:11" x14ac:dyDescent="0.25">
      <c r="A11" s="73" t="str">
        <f>IF(OR(B11&lt;&gt;"",D11&lt;&gt;""),"["&amp;TEXT($B$2,"##")&amp;"-"&amp;TEXT(ROW()-10,"##")&amp;"]","")</f>
        <v>[&lt;Feature Name2&gt;-1]</v>
      </c>
      <c r="B11" s="73" t="s">
        <v>46</v>
      </c>
      <c r="C11" s="73"/>
      <c r="D11" s="77"/>
      <c r="E11" s="77"/>
      <c r="F11" s="73"/>
      <c r="G11" s="73"/>
      <c r="H11" s="73"/>
      <c r="I11" s="73"/>
      <c r="K11" s="76"/>
    </row>
    <row r="12" spans="1:11" x14ac:dyDescent="0.25">
      <c r="A12" s="73" t="str">
        <f>IF(OR(B12&lt;&gt;"",D12&lt;&gt;""),"["&amp;TEXT($B$2,"##")&amp;"-"&amp;TEXT(ROW()-10,"##")&amp;"]","")</f>
        <v>[&lt;Feature Name2&gt;-2]</v>
      </c>
      <c r="B12" s="73" t="s">
        <v>48</v>
      </c>
      <c r="C12" s="73"/>
      <c r="D12" s="77"/>
      <c r="E12" s="77"/>
      <c r="F12" s="73"/>
      <c r="G12" s="73"/>
      <c r="H12" s="73"/>
      <c r="I12" s="73"/>
      <c r="K12" s="76"/>
    </row>
    <row r="13" ht="15.75" customHeight="1" spans="1:11" s="40" customFormat="1" x14ac:dyDescent="0.25">
      <c r="A13" s="68" t="s">
        <v>49</v>
      </c>
      <c r="B13" s="78"/>
      <c r="C13" s="79"/>
      <c r="D13" s="79"/>
      <c r="E13" s="79"/>
      <c r="F13" s="79"/>
      <c r="G13" s="79"/>
      <c r="H13" s="79"/>
      <c r="I13" s="80"/>
      <c r="K13" s="71"/>
    </row>
    <row r="14" spans="1:11" x14ac:dyDescent="0.25">
      <c r="A14" s="73" t="str">
        <f>IF(OR(B14&lt;&gt;"",D14&lt;&gt;""),"["&amp;TEXT($B$2,"##")&amp;"-"&amp;TEXT(ROW()-11,"##")&amp;"]","")</f>
        <v>[&lt;Feature Name2&gt;-3]</v>
      </c>
      <c r="B14" s="73" t="s">
        <v>50</v>
      </c>
      <c r="C14" s="73"/>
      <c r="D14" s="73"/>
      <c r="E14" s="73"/>
      <c r="F14" s="73"/>
      <c r="G14" s="73"/>
      <c r="H14" s="73"/>
      <c r="I14" s="73"/>
      <c r="K14" s="76"/>
    </row>
    <row r="15" spans="1:9" x14ac:dyDescent="0.25">
      <c r="A15" s="73" t="str">
        <f>IF(OR(B15&lt;&gt;"",D15&lt;&gt;""),"["&amp;TEXT($B$2,"##")&amp;"-"&amp;TEXT(ROW()-11,"##")&amp;"]","")</f>
        <v>[&lt;Feature Name2&gt;-4]</v>
      </c>
      <c r="B15" s="73" t="s">
        <v>51</v>
      </c>
      <c r="C15" s="73"/>
      <c r="D15" s="73"/>
      <c r="E15" s="73"/>
      <c r="F15" s="73"/>
      <c r="G15" s="81"/>
      <c r="H15" s="81"/>
      <c r="I15" s="81"/>
    </row>
    <row r="16" ht="15.75" customHeight="1" spans="1:11" s="40" customFormat="1" x14ac:dyDescent="0.25">
      <c r="A16" s="68" t="s">
        <v>52</v>
      </c>
      <c r="B16" s="78"/>
      <c r="C16" s="79"/>
      <c r="D16" s="79"/>
      <c r="E16" s="79"/>
      <c r="F16" s="79"/>
      <c r="G16" s="79"/>
      <c r="H16" s="79"/>
      <c r="I16" s="80"/>
      <c r="K16" s="71"/>
    </row>
    <row r="17" spans="1:11" x14ac:dyDescent="0.25">
      <c r="A17" s="73" t="str">
        <f>IF(OR(B17&lt;&gt;"",D17&lt;&gt;""),"["&amp;TEXT($B$2,"##")&amp;"-"&amp;TEXT(ROW()-12,"##")&amp;"]","")</f>
        <v>[&lt;Feature Name2&gt;-5]</v>
      </c>
      <c r="B17" s="73" t="s">
        <v>53</v>
      </c>
      <c r="C17" s="73"/>
      <c r="D17" s="73"/>
      <c r="E17" s="73"/>
      <c r="F17" s="73"/>
      <c r="G17" s="73"/>
      <c r="H17" s="73"/>
      <c r="I17" s="73"/>
      <c r="K17" s="76"/>
    </row>
  </sheetData>
  <mergeCells count="3">
    <mergeCell ref="B2:E2"/>
    <mergeCell ref="B3:E3"/>
    <mergeCell ref="B4:E4"/>
  </mergeCells>
  <dataValidations count="6">
    <dataValidation type="list" allowBlank="1" showErrorMessage="1" sqref="F10:F17">
      <formula1>$L$2:$L$5</formula1>
      <formula2>0</formula2>
    </dataValidation>
    <dataValidation type="list" allowBlank="1" showErrorMessage="1" sqref="F8:F17">
      <formula1>$L$2:$L$5</formula1>
      <formula2>0</formula2>
    </dataValidation>
    <dataValidation type="list" allowBlank="1" showErrorMessage="1" sqref="G100:G145">
      <formula1>$L$2:$L$5</formula1>
      <formula2>0</formula2>
    </dataValidation>
    <dataValidation type="list" allowBlank="1" showErrorMessage="1" sqref="G18:G145">
      <formula1>$L$2:$L$5</formula1>
      <formula2>0</formula2>
    </dataValidation>
    <dataValidation type="list" allowBlank="1" showErrorMessage="1" sqref="G2:G3">
      <formula1>$L$2:$L$5</formula1>
      <formula2>0</formula2>
    </dataValidation>
    <dataValidation type="list" allowBlank="1" showErrorMessage="1" sqref="G7">
      <formula1>$L$2:$L$5</formula1>
      <formula2>0</formula2>
    </dataValidation>
  </dataValidations>
  <pageMargins left="0.7479166666666667" right="0.25" top="0.75" bottom="0.9840277777777777" header="0.5" footer="0.5"/>
  <pageSetup paperSize="9" orientation="landscape" horizontalDpi="300" verticalDpi="300" scale="100" fitToWidth="1" fitToHeight="1" firstPageNumber="0" copies="1"/>
  <headerFooter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Feature1</vt:lpstr>
      <vt:lpstr>Feature2</vt:lpstr>
      <vt:lpstr>Test Report</vt:lpstr>
      <vt:lpstr>FunctionList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Nguyen</dc:creator>
  <dc:title>Test case</dc:title>
  <dc:subject>v1/0</dc:subject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category>BM</cp:category>
  <cp:lastModifiedBy>Huong Hoang Luong</cp:lastModifiedBy>
  <cp:lastPrinted>2010-11-12T10:33:20Z</cp:lastPrinted>
  <dcterms:created xsi:type="dcterms:W3CDTF">2020-03-17T17:34:29Z</dcterms:created>
  <dcterms:modified xsi:type="dcterms:W3CDTF">2023-03-09T14:59:07Z</dcterms:modified>
</cp:coreProperties>
</file>